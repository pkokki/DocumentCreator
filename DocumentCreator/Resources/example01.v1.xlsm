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" l="1"/>
  <c r="M19" i="1" l="1"/>
  <c r="M17" i="1"/>
  <c r="M11" i="1"/>
  <c r="M10" i="1"/>
  <c r="I26" i="1"/>
  <c r="I25" i="1"/>
  <c r="I24" i="1"/>
  <c r="I23" i="1"/>
  <c r="I22" i="1"/>
  <c r="I21" i="1"/>
  <c r="I20" i="1"/>
  <c r="J25" i="1"/>
  <c r="J22" i="1"/>
  <c r="J10" i="1"/>
  <c r="J3" i="1"/>
  <c r="J14" i="1"/>
  <c r="J20" i="1"/>
  <c r="J15" i="1"/>
  <c r="J6" i="1"/>
  <c r="J7" i="1"/>
  <c r="J5" i="1"/>
  <c r="J17" i="1"/>
  <c r="J13" i="1"/>
  <c r="J9" i="1"/>
  <c r="J11" i="1"/>
  <c r="J21" i="1"/>
  <c r="J26" i="1"/>
  <c r="J19" i="1"/>
  <c r="J18" i="1"/>
  <c r="J16" i="1"/>
  <c r="J24" i="1"/>
  <c r="J4" i="1"/>
  <c r="J23" i="1"/>
  <c r="J12" i="1"/>
  <c r="J8" i="1"/>
  <c r="M26" i="1" l="1"/>
  <c r="M20" i="1"/>
  <c r="M18" i="1"/>
  <c r="M16" i="1"/>
  <c r="M15" i="1"/>
  <c r="M14" i="1"/>
  <c r="M13" i="1"/>
  <c r="M12" i="1"/>
  <c r="M21" i="1"/>
  <c r="M22" i="1"/>
  <c r="M25" i="1"/>
  <c r="M24" i="1"/>
  <c r="M23" i="1"/>
  <c r="M9" i="1"/>
  <c r="M8" i="1"/>
  <c r="M6" i="1"/>
  <c r="M7" i="1"/>
  <c r="M3" i="1"/>
  <c r="M4" i="1"/>
  <c r="M5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<sst xmlns="http://schemas.openxmlformats.org/spreadsheetml/2006/main" count="125" uniqueCount="97">
  <si>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</si>
  <si>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</si>
  <si>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</si>
  <si>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</si>
  <si>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</si>
  <si>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</si>
  <si>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</si>
  <si>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</si>
  <si>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ανά μήνα</t>
  </si>
  <si>
    <t>WRITEINFULL(RQD("PS1014");"%s (%d)";2)</t>
  </si>
  <si>
    <t>τριών (3)</t>
  </si>
  <si>
    <t>μηνών</t>
  </si>
  <si>
    <t>FORMAT(RQD("PS1016");2)</t>
  </si>
  <si>
    <t>ΠΡΟΘΕΣΜΙΑΚΗ ΜΕ BONUS 3 ΜΗΝΩΝ - ΑΠΟ ΕΥΡΩ 10.000</t>
  </si>
  <si>
    <t>Ευρώ 10.000</t>
  </si>
  <si>
    <t>Τριμηνιαία</t>
  </si>
  <si>
    <t>Μηνιαία</t>
  </si>
  <si>
    <t>UPPERFIRST(DURATION(RQD("PS1014"), RQD("PS1016")))</t>
  </si>
  <si>
    <t>1ος μήνας</t>
  </si>
  <si>
    <t>0,20%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</si>
  <si>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</si>
  <si>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</si>
  <si>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</si>
  <si>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</si>
  <si>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</si>
  <si>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</si>
  <si>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</si>
  <si>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</si>
  <si>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</si>
  <si>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</si>
  <si>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</si>
  <si>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</si>
  <si>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</si>
  <si>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</si>
  <si>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</si>
  <si>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</si>
  <si>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</si>
  <si>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</si>
  <si>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[]</t>
  </si>
  <si>
    <t>UPPERFIRST(DURATION(S1, "Μήνας"))</t>
  </si>
  <si>
    <t>0,170%</t>
  </si>
  <si>
    <t>μηνιαία</t>
  </si>
  <si>
    <t>DURATION(S1, "Μήνας")</t>
  </si>
  <si>
    <t>DURATIONTYPE(RQD("PS1015"),1)</t>
  </si>
  <si>
    <t>Ευρώ 5.000</t>
  </si>
  <si>
    <t>Προθεσμιακή με Bonus 3 Μηνών - Από Ευρώ 10.000</t>
  </si>
  <si>
    <t>123 - ΚΕΝΤΡΙΚΟ</t>
  </si>
  <si>
    <t>Content</t>
  </si>
  <si>
    <t>F19</t>
  </si>
  <si>
    <t>F20</t>
  </si>
  <si>
    <t>F21</t>
  </si>
  <si>
    <t>F22</t>
  </si>
  <si>
    <t>F23</t>
  </si>
  <si>
    <t>F24</t>
  </si>
  <si>
    <t>Expected</t>
  </si>
  <si>
    <t>Check</t>
  </si>
  <si>
    <t>Name</t>
  </si>
  <si>
    <t>Value</t>
  </si>
  <si>
    <t>RQ</t>
  </si>
  <si>
    <t>RS</t>
  </si>
  <si>
    <t>SOURCES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</si>
  <si>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</si>
  <si>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</si>
  <si>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</si>
  <si>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</si>
  <si>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</si>
  <si>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</si>
  <si>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</si>
  <si>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</si>
  <si>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</si>
  <si>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</si>
  <si>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</si>
  <si>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</si>
  <si>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</si>
  <si>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</si>
  <si>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</si>
  <si>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</si>
  <si>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</si>
  <si>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</si>
  <si>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</si>
  <si>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</si>
  <si>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</si>
  <si>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</si>
  <si>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</si>
  <si>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</si>
  <si>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Comment</t>
  </si>
  <si>
    <t>έκαστης</t>
  </si>
  <si>
    <t>500</t>
  </si>
  <si>
    <t>923456789012345</t>
  </si>
  <si>
    <t>IsColl</t>
  </si>
  <si>
    <t>OP1</t>
  </si>
  <si>
    <t>{"LogHeader":{"RequestId":"123456",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</si>
  <si>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4/4/2020</t>
  </si>
  <si>
    <t>{"X":100}</t>
  </si>
  <si>
    <t>Last error message</t>
  </si>
  <si>
    <t>Server:</t>
  </si>
  <si>
    <t>http://localhost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</si>
</sst>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u/>
      <sz val="11"/>
      <color theme="10"/>
      <name val="Calibri"/>
      <family val="2"/>
      <charset val="161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quotePrefix="1" applyFill="1"/>
    <xf numFmtId="0" fontId="0" fillId="0" borderId="0" xfId="0" applyFill="1" applyAlignment="1">
      <alignment horizontal="left"/>
    </xf>
    <xf numFmtId="49" fontId="0" fillId="0" borderId="0" xfId="0" quotePrefix="1" applyNumberFormat="1" applyFill="1" applyAlignment="1"/>
    <xf numFmtId="49" fontId="0" fillId="0" borderId="0" xfId="0" quotePrefix="1" applyNumberFormat="1" applyFill="1"/>
    <xf numFmtId="49" fontId="0" fillId="0" borderId="0" xfId="0" applyNumberFormat="1" applyFill="1" applyAlignment="1"/>
    <xf numFmtId="49" fontId="0" fillId="0" borderId="0" xfId="0" applyNumberFormat="1" applyFill="1"/>
    <xf numFmtId="0" fontId="0" fillId="0" borderId="0" xfId="0" applyFill="1"/>
    <xf numFmtId="0" fontId="3" fillId="2" borderId="0" xfId="0" applyFont="1" applyFill="1" applyAlignment="1">
      <alignment horizontal="left"/>
    </xf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  <xf numFmtId="0" fontId="4" fillId="0" borderId="0" xfId="0" applyFont="1" applyFill="1"/>
    <xf numFmtId="0" fontId="5" fillId="2" borderId="0" xfId="3" applyFill="1"/>
  </cellXfs>
  <cellStyles count="4">
    <cellStyle name="Heading 2" xfId="1" builtinId="17"/>
    <cellStyle name="Heading 3" xfId="2" builtinId="18"/>
    <cellStyle name="Hyperlink" xfId="3" builtinId="8"/>
    <cellStyle name="Normal" xfId="0" builtinId="0"/>
  </cellStyles>
  <dxfs count="2"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169069</xdr:colOff>
          <xdr:row>18</xdr:row>
          <xdr:rowOff>47624</xdr:rowOff>
        </xdr:from>
        <xdr:to>
          <xdr:col>15</xdr:col>
          <xdr:colOff>1809750</xdr:colOff>
          <xdr:row>19</xdr:row>
          <xdr:rowOff>119061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484909</xdr:colOff>
          <xdr:row>12</xdr:row>
          <xdr:rowOff>17318</xdr:rowOff>
        </xdr:from>
        <xdr:to>
          <xdr:col>15</xdr:col>
          <xdr:colOff>729528</xdr:colOff>
          <xdr:row>12</xdr:row>
          <xdr:rowOff>185088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@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8"/>
  <sheetViews>
    <sheetView tabSelected="1" topLeftCell="B1" zoomScale="80" zoomScaleNormal="80" workbookViewId="0">
      <selection activeCell="J28" sqref="J28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56.42578125" style="1" bestFit="1" customWidth="1"/>
    <col min="11" max="11" width="32" style="1" customWidth="1"/>
    <col min="12" max="12" width="31" style="1" customWidth="1"/>
    <col min="13" max="13" width="6.28515625" style="4" bestFit="1" customWidth="1"/>
    <col min="14" max="14" width="2.28515625" style="1" customWidth="1"/>
    <col min="15" max="15" width="10.140625" style="1" customWidth="1"/>
    <col min="16" max="16" width="30.140625" style="1" customWidth="1"/>
    <col min="17" max="16384" width="9.140625" style="1"/>
  </cols>
  <sheetData>
    <row r="1" spans="1:16" ht="18" thickBot="1" x14ac:dyDescent="0.35">
      <c r="A1" s="13" t="s">
        <v>0</v>
      </c>
      <c r="B1" s="13"/>
      <c r="C1" s="13"/>
      <c r="D1" s="13"/>
      <c r="E1" s="13"/>
      <c r="F1" s="13"/>
      <c r="H1" s="13" t="s">
        <v>4</v>
      </c>
      <c r="I1" s="13"/>
      <c r="J1" s="13"/>
      <c r="K1" s="13"/>
      <c r="L1" s="13"/>
      <c r="M1" s="13"/>
      <c r="O1" s="14" t="s">
        <v>60</v>
      </c>
      <c r="P1" s="14"/>
    </row>
    <row r="2" spans="1:16" ht="16.5" thickTop="1" thickBot="1" x14ac:dyDescent="0.3">
      <c r="A2" s="2" t="s">
        <v>1</v>
      </c>
      <c r="B2" s="2" t="s">
        <v>2</v>
      </c>
      <c r="C2" s="2" t="s">
        <v>3</v>
      </c>
      <c r="D2" s="2" t="s">
        <v>89</v>
      </c>
      <c r="E2" s="2" t="s">
        <v>7</v>
      </c>
      <c r="F2" s="2" t="s">
        <v>47</v>
      </c>
      <c r="H2" s="2" t="s">
        <v>1</v>
      </c>
      <c r="I2" s="2" t="s">
        <v>5</v>
      </c>
      <c r="J2" s="2" t="s">
        <v>6</v>
      </c>
      <c r="K2" s="2" t="s">
        <v>54</v>
      </c>
      <c r="L2" s="2" t="s">
        <v>85</v>
      </c>
      <c r="M2" s="3" t="s">
        <v>55</v>
      </c>
      <c r="O2" s="2" t="s">
        <v>56</v>
      </c>
      <c r="P2" s="2" t="s">
        <v>57</v>
      </c>
    </row>
    <row r="3" spans="1:16" x14ac:dyDescent="0.25">
      <c r="A3" s="1">
        <v>1</v>
      </c>
      <c r="B3" s="1" t="s">
        <v>29</v>
      </c>
      <c r="F3" s="1" t="s">
        <v>61</v>
      </c>
      <c r="H3" s="1" t="s">
        <v>90</v>
      </c>
      <c r="I3" s="1">
        <f t="shared" ref="I3:I8" si="0">A3</f>
        <v>1</v>
      </c>
      <c r="J3" s="6" t="str">
        <f>SYSDATE()</f>
        <v>4/4/2020</v>
      </c>
      <c r="K3" s="7" t="s">
        <v>92</v>
      </c>
      <c r="L3" s="8"/>
      <c r="M3" s="12">
        <f>IF(J3=K3,1,0)</f>
        <v>1</v>
      </c>
      <c r="O3" s="11" t="s">
        <v>58</v>
      </c>
      <c r="P3" s="11" t="s">
        <v>91</v>
      </c>
    </row>
    <row r="4" spans="1:16" x14ac:dyDescent="0.25">
      <c r="A4" s="1">
        <v>2</v>
      </c>
      <c r="B4" s="1" t="s">
        <v>30</v>
      </c>
      <c r="F4" s="1" t="s">
        <v>62</v>
      </c>
      <c r="H4" s="1" t="s">
        <v>90</v>
      </c>
      <c r="I4" s="1">
        <f t="shared" si="0"/>
        <v>2</v>
      </c>
      <c r="J4" s="6" t="str">
        <f>UPPER(rqd("ProductDescription"))</f>
        <v>ΠΡΟΘΕΣΜΙΑΚΗ ΜΕ BONUS 3 ΜΗΝΩΝ - ΑΠΟ ΕΥΡΩ 10.000</v>
      </c>
      <c r="K4" s="9" t="s">
        <v>13</v>
      </c>
      <c r="L4" s="10"/>
      <c r="M4" s="12">
        <f t="shared" ref="M4:M26" si="1">IF(J4=K4,1,0)</f>
        <v>1</v>
      </c>
      <c r="O4" s="11" t="s">
        <v>59</v>
      </c>
      <c r="P4" s="11" t="s">
        <v>93</v>
      </c>
    </row>
    <row r="5" spans="1:16" x14ac:dyDescent="0.25">
      <c r="A5" s="1">
        <v>3</v>
      </c>
      <c r="B5" s="1" t="s">
        <v>31</v>
      </c>
      <c r="F5" s="1" t="s">
        <v>63</v>
      </c>
      <c r="H5" s="1" t="s">
        <v>90</v>
      </c>
      <c r="I5" s="1">
        <f t="shared" si="0"/>
        <v>3</v>
      </c>
      <c r="J5" s="6" t="str">
        <f>rqd("AccountNumber")</f>
        <v>923456789012345</v>
      </c>
      <c r="K5" s="7" t="s">
        <v>88</v>
      </c>
      <c r="L5" s="8"/>
      <c r="M5" s="12">
        <f t="shared" si="1"/>
        <v>1</v>
      </c>
      <c r="O5" s="11"/>
      <c r="P5" s="11"/>
    </row>
    <row r="6" spans="1:16" x14ac:dyDescent="0.25">
      <c r="A6" s="1">
        <v>4</v>
      </c>
      <c r="B6" s="1" t="s">
        <v>32</v>
      </c>
      <c r="F6" s="1" t="s">
        <v>64</v>
      </c>
      <c r="H6" s="1" t="s">
        <v>90</v>
      </c>
      <c r="I6" s="1">
        <f t="shared" si="0"/>
        <v>4</v>
      </c>
      <c r="J6" s="6" t="str">
        <f>LOWER(rqd("PS1014"))</f>
        <v>3</v>
      </c>
      <c r="K6" s="9" t="s">
        <v>10</v>
      </c>
      <c r="L6" s="11" t="s">
        <v>9</v>
      </c>
      <c r="M6" s="12">
        <f t="shared" si="1"/>
        <v>0</v>
      </c>
      <c r="O6" s="11"/>
      <c r="P6" s="11"/>
    </row>
    <row r="7" spans="1:16" x14ac:dyDescent="0.25">
      <c r="A7" s="1">
        <v>5</v>
      </c>
      <c r="B7" s="1" t="s">
        <v>33</v>
      </c>
      <c r="F7" s="1" t="s">
        <v>65</v>
      </c>
      <c r="H7" s="1" t="s">
        <v>90</v>
      </c>
      <c r="I7" s="1">
        <f t="shared" si="0"/>
        <v>5</v>
      </c>
      <c r="J7" s="6" t="str">
        <f>rqd("PS1016")</f>
        <v>MONTH</v>
      </c>
      <c r="K7" s="9" t="s">
        <v>11</v>
      </c>
      <c r="L7" s="11" t="s">
        <v>12</v>
      </c>
      <c r="M7" s="12">
        <f t="shared" si="1"/>
        <v>0</v>
      </c>
      <c r="O7" s="11"/>
      <c r="P7" s="11"/>
    </row>
    <row r="8" spans="1:16" x14ac:dyDescent="0.25">
      <c r="A8" s="1">
        <v>6</v>
      </c>
      <c r="B8" s="1" t="s">
        <v>34</v>
      </c>
      <c r="F8" s="1" t="s">
        <v>66</v>
      </c>
      <c r="H8" s="1" t="s">
        <v>90</v>
      </c>
      <c r="I8" s="1">
        <f t="shared" si="0"/>
        <v>6</v>
      </c>
      <c r="J8" s="6" t="str">
        <f>IF(rqd("PS1014")/rqd("PS1015")&gt;2,"έκαστης","της πρώτης")</f>
        <v>έκαστης</v>
      </c>
      <c r="K8" s="9" t="s">
        <v>86</v>
      </c>
      <c r="L8" s="10"/>
      <c r="M8" s="12">
        <f t="shared" si="1"/>
        <v>1</v>
      </c>
      <c r="O8" s="11"/>
      <c r="P8" s="11"/>
    </row>
    <row r="9" spans="1:16" x14ac:dyDescent="0.25">
      <c r="A9" s="1">
        <v>7</v>
      </c>
      <c r="B9" s="1" t="s">
        <v>35</v>
      </c>
      <c r="F9" s="1" t="s">
        <v>67</v>
      </c>
      <c r="H9" s="1" t="s">
        <v>90</v>
      </c>
      <c r="I9" s="1">
        <f t="shared" ref="I9:I26" si="2">A9</f>
        <v>7</v>
      </c>
      <c r="J9" s="6">
        <f>rqd("PS1056")</f>
        <v>10000</v>
      </c>
      <c r="K9" s="9" t="s">
        <v>14</v>
      </c>
      <c r="L9" s="10"/>
      <c r="M9" s="12">
        <f t="shared" si="1"/>
        <v>0</v>
      </c>
      <c r="O9" s="11"/>
      <c r="P9" s="11"/>
    </row>
    <row r="10" spans="1:16" x14ac:dyDescent="0.25">
      <c r="A10" s="1">
        <v>8</v>
      </c>
      <c r="B10" s="1" t="s">
        <v>36</v>
      </c>
      <c r="F10" s="1" t="s">
        <v>68</v>
      </c>
      <c r="H10" s="1" t="s">
        <v>90</v>
      </c>
      <c r="I10" s="1">
        <f t="shared" si="2"/>
        <v>8</v>
      </c>
      <c r="J10" s="6" t="str">
        <f>PROPER(rqd("PS1014"))</f>
        <v>3</v>
      </c>
      <c r="K10" s="9" t="s">
        <v>15</v>
      </c>
      <c r="L10" s="6" t="s">
        <v>17</v>
      </c>
      <c r="M10" s="12">
        <f>IF(L10=K10,1,0)</f>
        <v>0</v>
      </c>
      <c r="O10" s="11"/>
      <c r="P10" s="11"/>
    </row>
    <row r="11" spans="1:16" x14ac:dyDescent="0.25">
      <c r="A11" s="1">
        <v>9</v>
      </c>
      <c r="B11" s="1" t="s">
        <v>37</v>
      </c>
      <c r="F11" s="1" t="s">
        <v>69</v>
      </c>
      <c r="H11" s="1" t="s">
        <v>90</v>
      </c>
      <c r="I11" s="1">
        <f t="shared" si="2"/>
        <v>9</v>
      </c>
      <c r="J11" s="6">
        <f>rqd("PS1015")</f>
        <v>1</v>
      </c>
      <c r="K11" s="9" t="s">
        <v>16</v>
      </c>
      <c r="L11" s="6" t="s">
        <v>39</v>
      </c>
      <c r="M11" s="12">
        <f>IF(L11=K11,1,0)</f>
        <v>0</v>
      </c>
      <c r="O11" s="11"/>
      <c r="P11" s="11"/>
    </row>
    <row r="12" spans="1:16" x14ac:dyDescent="0.25">
      <c r="A12" s="1">
        <v>10</v>
      </c>
      <c r="B12" s="1" t="s">
        <v>20</v>
      </c>
      <c r="D12" s="1" t="b">
        <v>1</v>
      </c>
      <c r="F12" s="1" t="s">
        <v>70</v>
      </c>
      <c r="H12" s="1" t="s">
        <v>90</v>
      </c>
      <c r="I12" s="1">
        <f t="shared" si="2"/>
        <v>10</v>
      </c>
      <c r="J12" s="6" t="str">
        <f>rqd("InterestTable")</f>
        <v>[]</v>
      </c>
      <c r="K12" s="9" t="s">
        <v>38</v>
      </c>
      <c r="L12" s="10"/>
      <c r="M12" s="12">
        <f t="shared" si="1"/>
        <v>1</v>
      </c>
      <c r="O12" s="11"/>
      <c r="P12" s="11"/>
    </row>
    <row r="13" spans="1:16" ht="15.75" thickBot="1" x14ac:dyDescent="0.3">
      <c r="A13" s="1">
        <v>11</v>
      </c>
      <c r="B13" s="1" t="s">
        <v>21</v>
      </c>
      <c r="C13" s="1">
        <v>10</v>
      </c>
      <c r="E13" s="1" t="b">
        <v>1</v>
      </c>
      <c r="F13" s="1" t="s">
        <v>71</v>
      </c>
      <c r="H13" s="1" t="s">
        <v>90</v>
      </c>
      <c r="I13" s="1">
        <f t="shared" si="2"/>
        <v>11</v>
      </c>
      <c r="J13" s="6">
        <f>RQR("Period")</f>
        <v>1</v>
      </c>
      <c r="K13" s="9" t="s">
        <v>18</v>
      </c>
      <c r="L13" s="10"/>
      <c r="M13" s="12">
        <f t="shared" si="1"/>
        <v>0</v>
      </c>
      <c r="O13" s="2" t="s">
        <v>94</v>
      </c>
      <c r="P13" s="2"/>
    </row>
    <row r="14" spans="1:16" x14ac:dyDescent="0.25">
      <c r="A14" s="1">
        <v>12</v>
      </c>
      <c r="B14" s="1" t="s">
        <v>22</v>
      </c>
      <c r="C14" s="1">
        <v>10</v>
      </c>
      <c r="E14" s="1" t="b">
        <v>1</v>
      </c>
      <c r="F14" s="1" t="s">
        <v>72</v>
      </c>
      <c r="H14" s="1" t="s">
        <v>90</v>
      </c>
      <c r="I14" s="1">
        <f t="shared" si="2"/>
        <v>12</v>
      </c>
      <c r="J14" s="6">
        <f>RQR("Interest")</f>
        <v>0.2</v>
      </c>
      <c r="K14" s="7" t="s">
        <v>19</v>
      </c>
      <c r="L14" s="8"/>
      <c r="M14" s="12">
        <f t="shared" si="1"/>
        <v>0</v>
      </c>
      <c r="O14" s="15" t="str">
        <f>GetLastSourceErrorMsg()</f>
        <v/>
      </c>
      <c r="P14" s="11"/>
    </row>
    <row r="15" spans="1:16" x14ac:dyDescent="0.25">
      <c r="A15" s="1">
        <v>13</v>
      </c>
      <c r="B15" s="1" t="s">
        <v>23</v>
      </c>
      <c r="C15" s="1">
        <v>10</v>
      </c>
      <c r="E15" s="1" t="b">
        <v>1</v>
      </c>
      <c r="F15" s="1" t="s">
        <v>73</v>
      </c>
      <c r="H15" s="1" t="s">
        <v>90</v>
      </c>
      <c r="I15" s="1">
        <f t="shared" si="2"/>
        <v>13</v>
      </c>
      <c r="J15" s="6">
        <f>RQR("Points")</f>
        <v>500</v>
      </c>
      <c r="K15" s="7" t="s">
        <v>87</v>
      </c>
      <c r="L15" s="8"/>
      <c r="M15" s="12">
        <f t="shared" si="1"/>
        <v>0</v>
      </c>
    </row>
    <row r="16" spans="1:16" x14ac:dyDescent="0.25">
      <c r="A16" s="1">
        <v>14</v>
      </c>
      <c r="B16" s="1" t="s">
        <v>24</v>
      </c>
      <c r="F16" s="1" t="s">
        <v>74</v>
      </c>
      <c r="H16" s="1" t="s">
        <v>90</v>
      </c>
      <c r="I16" s="1">
        <f t="shared" si="2"/>
        <v>14</v>
      </c>
      <c r="J16" s="6">
        <f>rqd("SEPA")</f>
        <v>0.17</v>
      </c>
      <c r="K16" s="7" t="s">
        <v>40</v>
      </c>
      <c r="L16" s="8"/>
      <c r="M16" s="12">
        <f t="shared" si="1"/>
        <v>0</v>
      </c>
    </row>
    <row r="17" spans="1:16" ht="15.75" thickBot="1" x14ac:dyDescent="0.3">
      <c r="A17" s="1">
        <v>15</v>
      </c>
      <c r="B17" s="1" t="s">
        <v>25</v>
      </c>
      <c r="F17" s="1" t="s">
        <v>75</v>
      </c>
      <c r="H17" s="1" t="s">
        <v>90</v>
      </c>
      <c r="I17" s="1">
        <f t="shared" si="2"/>
        <v>15</v>
      </c>
      <c r="J17" s="6">
        <f>rqd("PS1015")</f>
        <v>1</v>
      </c>
      <c r="K17" s="9" t="s">
        <v>41</v>
      </c>
      <c r="L17" s="6" t="s">
        <v>42</v>
      </c>
      <c r="M17" s="12">
        <f>IF(L17=K17,1,0)</f>
        <v>0</v>
      </c>
      <c r="O17" s="2" t="s">
        <v>95</v>
      </c>
      <c r="P17" s="16" t="s">
        <v>96</v>
      </c>
    </row>
    <row r="18" spans="1:16" x14ac:dyDescent="0.25">
      <c r="A18" s="1">
        <v>16</v>
      </c>
      <c r="B18" s="1" t="s">
        <v>26</v>
      </c>
      <c r="F18" s="1" t="s">
        <v>76</v>
      </c>
      <c r="H18" s="1" t="s">
        <v>90</v>
      </c>
      <c r="I18" s="1">
        <f t="shared" si="2"/>
        <v>16</v>
      </c>
      <c r="J18" s="6" t="str">
        <f>CONTENT(rqd("PS1053")="START")</f>
        <v>C16</v>
      </c>
      <c r="K18" s="9" t="s">
        <v>76</v>
      </c>
      <c r="L18" s="10"/>
      <c r="M18" s="12">
        <f t="shared" si="1"/>
        <v>1</v>
      </c>
    </row>
    <row r="19" spans="1:16" x14ac:dyDescent="0.25">
      <c r="A19" s="1">
        <v>17</v>
      </c>
      <c r="B19" s="1" t="s">
        <v>27</v>
      </c>
      <c r="F19" s="1" t="s">
        <v>77</v>
      </c>
      <c r="H19" s="1" t="s">
        <v>90</v>
      </c>
      <c r="I19" s="1">
        <f t="shared" si="2"/>
        <v>17</v>
      </c>
      <c r="J19" s="6">
        <f>rqd("PS1015")</f>
        <v>1</v>
      </c>
      <c r="K19" s="9" t="s">
        <v>8</v>
      </c>
      <c r="L19" s="6" t="s">
        <v>43</v>
      </c>
      <c r="M19" s="12">
        <f>IF(L19=K19,1,0)</f>
        <v>0</v>
      </c>
    </row>
    <row r="20" spans="1:16" x14ac:dyDescent="0.25">
      <c r="A20" s="1">
        <v>18</v>
      </c>
      <c r="B20" s="1" t="s">
        <v>28</v>
      </c>
      <c r="F20" s="1" t="s">
        <v>78</v>
      </c>
      <c r="H20" s="1" t="s">
        <v>90</v>
      </c>
      <c r="I20" s="1">
        <f t="shared" si="2"/>
        <v>18</v>
      </c>
      <c r="J20" s="6" t="str">
        <f>CONTENT(rqd("PS1014")-rqd("PS1015")&gt;2)</f>
        <v/>
      </c>
      <c r="K20" s="9"/>
      <c r="L20" s="10"/>
      <c r="M20" s="12">
        <f t="shared" si="1"/>
        <v>1</v>
      </c>
    </row>
    <row r="21" spans="1:16" x14ac:dyDescent="0.25">
      <c r="A21" s="1">
        <v>19</v>
      </c>
      <c r="B21" s="1" t="s">
        <v>48</v>
      </c>
      <c r="F21" s="1" t="s">
        <v>79</v>
      </c>
      <c r="H21" s="1" t="s">
        <v>90</v>
      </c>
      <c r="I21" s="1">
        <f t="shared" si="2"/>
        <v>19</v>
      </c>
      <c r="J21" s="6">
        <f>rqd("F1041")</f>
        <v>5000</v>
      </c>
      <c r="K21" s="9" t="s">
        <v>44</v>
      </c>
      <c r="L21" s="10"/>
      <c r="M21" s="12">
        <f t="shared" si="1"/>
        <v>0</v>
      </c>
    </row>
    <row r="22" spans="1:16" x14ac:dyDescent="0.25">
      <c r="A22" s="1">
        <v>20</v>
      </c>
      <c r="B22" s="1" t="s">
        <v>49</v>
      </c>
      <c r="F22" s="1" t="s">
        <v>80</v>
      </c>
      <c r="H22" s="1" t="s">
        <v>90</v>
      </c>
      <c r="I22" s="1">
        <f t="shared" si="2"/>
        <v>20</v>
      </c>
      <c r="J22" s="6">
        <f>rqd("F1042")</f>
        <v>10000</v>
      </c>
      <c r="K22" s="9" t="s">
        <v>14</v>
      </c>
      <c r="L22" s="10"/>
      <c r="M22" s="12">
        <f t="shared" si="1"/>
        <v>0</v>
      </c>
    </row>
    <row r="23" spans="1:16" x14ac:dyDescent="0.25">
      <c r="A23" s="1">
        <v>21</v>
      </c>
      <c r="B23" s="1" t="s">
        <v>50</v>
      </c>
      <c r="F23" s="1" t="s">
        <v>81</v>
      </c>
      <c r="H23" s="1" t="s">
        <v>90</v>
      </c>
      <c r="I23" s="1">
        <f t="shared" si="2"/>
        <v>21</v>
      </c>
      <c r="J23" s="6" t="str">
        <f>rqd("ProductDescription")</f>
        <v>Προθεσμιακή με Bonus 3 Μηνών - Από Ευρώ 10.000</v>
      </c>
      <c r="K23" s="9" t="s">
        <v>45</v>
      </c>
      <c r="L23" s="10"/>
      <c r="M23" s="12">
        <f t="shared" si="1"/>
        <v>1</v>
      </c>
    </row>
    <row r="24" spans="1:16" x14ac:dyDescent="0.25">
      <c r="A24" s="1">
        <v>22</v>
      </c>
      <c r="B24" s="1" t="s">
        <v>51</v>
      </c>
      <c r="F24" s="1" t="s">
        <v>82</v>
      </c>
      <c r="H24" s="1" t="s">
        <v>90</v>
      </c>
      <c r="I24" s="1">
        <f t="shared" si="2"/>
        <v>22</v>
      </c>
      <c r="J24" s="6" t="str">
        <f>rqd("AccountNumber")</f>
        <v>923456789012345</v>
      </c>
      <c r="K24" s="7" t="s">
        <v>88</v>
      </c>
      <c r="L24" s="8"/>
      <c r="M24" s="12">
        <f t="shared" si="1"/>
        <v>1</v>
      </c>
    </row>
    <row r="25" spans="1:16" x14ac:dyDescent="0.25">
      <c r="A25" s="1">
        <v>23</v>
      </c>
      <c r="B25" s="1" t="s">
        <v>52</v>
      </c>
      <c r="F25" s="1" t="s">
        <v>83</v>
      </c>
      <c r="H25" s="1" t="s">
        <v>90</v>
      </c>
      <c r="I25" s="1">
        <f t="shared" si="2"/>
        <v>23</v>
      </c>
      <c r="J25" s="6" t="str">
        <f>source("RQ","RequestData.ProductDescription")</f>
        <v>Προθεσμιακή με Bonus 3 Μηνών - Από Ευρώ 10.000</v>
      </c>
      <c r="K25" s="9" t="s">
        <v>45</v>
      </c>
      <c r="L25" s="10"/>
      <c r="M25" s="12">
        <f t="shared" si="1"/>
        <v>1</v>
      </c>
    </row>
    <row r="26" spans="1:16" x14ac:dyDescent="0.25">
      <c r="A26" s="1">
        <v>24</v>
      </c>
      <c r="B26" s="1" t="s">
        <v>53</v>
      </c>
      <c r="F26" s="1" t="s">
        <v>84</v>
      </c>
      <c r="H26" s="1" t="s">
        <v>90</v>
      </c>
      <c r="I26" s="1">
        <f t="shared" si="2"/>
        <v>24</v>
      </c>
      <c r="J26" s="6" t="str">
        <f>RQL("Unit")</f>
        <v>123</v>
      </c>
      <c r="K26" s="9" t="s">
        <v>46</v>
      </c>
      <c r="L26" s="10"/>
      <c r="M26" s="12">
        <f t="shared" si="1"/>
        <v>0</v>
      </c>
    </row>
    <row r="28" spans="1:16" x14ac:dyDescent="0.25">
      <c r="J28" s="5"/>
    </row>
  </sheetData>
  <mergeCells count="3">
    <mergeCell ref="A1:F1"/>
    <mergeCell ref="H1:M1"/>
    <mergeCell ref="O1:P1"/>
  </mergeCells>
  <conditionalFormatting sqref="M3:M26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J3:J26">
    <cfRule type="containsErrors" dxfId="1" priority="5">
      <formula>ISERROR(J3)</formula>
    </cfRule>
  </conditionalFormatting>
  <conditionalFormatting sqref="J3:J26">
    <cfRule type="expression" dxfId="0" priority="1">
      <formula>NOT(_xlfn.ISFORMULA(J3))</formula>
    </cfRule>
  </conditionalFormatting>
  <hyperlinks>
    <hyperlink ref="P17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OnTestMapping">
                <anchor moveWithCells="1">
                  <from>
                    <xdr:col>14</xdr:col>
                    <xdr:colOff>171450</xdr:colOff>
                    <xdr:row>18</xdr:row>
                    <xdr:rowOff>47625</xdr:rowOff>
                  </from>
                  <to>
                    <xdr:col>15</xdr:col>
                    <xdr:colOff>1809750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OnSourceErrorMsgRefresh">
                <anchor moveWithCells="1">
                  <from>
                    <xdr:col>15</xdr:col>
                    <xdr:colOff>485775</xdr:colOff>
                    <xdr:row>12</xdr:row>
                    <xdr:rowOff>19050</xdr:rowOff>
                  </from>
                  <to>
                    <xdr:col>15</xdr:col>
                    <xdr:colOff>733425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2020-04-04T10:33:36Z</dcterms:modified>
</cp:coreProperties>
</file>