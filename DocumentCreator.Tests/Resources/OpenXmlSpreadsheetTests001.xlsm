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ocaladm\Desktop\"/>
    </mc:Choice>
  </mc:AlternateContent>
  <bookViews>
    <workbookView xWindow="0" yWindow="0" windowWidth="19200" windowHeight="12180"/>
  </bookViews>
  <sheets>
    <sheet name="Mapping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1" l="1"/>
  <c r="J15" i="1"/>
  <c r="J13" i="1"/>
  <c r="J14" i="1"/>
  <c r="J12" i="1"/>
  <c r="J25" i="1"/>
  <c r="J18" i="1"/>
  <c r="J8" i="1"/>
  <c r="J24" i="1"/>
  <c r="J23" i="1"/>
  <c r="J11" i="1"/>
  <c r="J16" i="1"/>
  <c r="J22" i="1"/>
  <c r="J10" i="1"/>
  <c r="J21" i="1"/>
  <c r="J17" i="1"/>
  <c r="J9" i="1"/>
  <c r="J20" i="1"/>
  <c r="J7" i="1"/>
  <c r="J6" i="1"/>
  <c r="J5" i="1"/>
  <c r="J4" i="1"/>
  <c r="J3" i="1"/>
  <c r="N25" i="1" l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P14" i="1"/>
</calcChain>
</file>

<file path=xl/sharedStrings.xml><?xml version="1.0" encoding="utf-8"?>
<sst xmlns="http://schemas.openxmlformats.org/spreadsheetml/2006/main" count="229" uniqueCount="67">
  <si>
    <t>FIELDS</t>
  </si>
  <si>
    <t>Id</t>
  </si>
  <si>
    <t>Tag</t>
  </si>
  <si>
    <t>ParentId</t>
  </si>
  <si>
    <t>MAPPINGS</t>
  </si>
  <si>
    <t>TargetId</t>
  </si>
  <si>
    <t>Transformation</t>
  </si>
  <si>
    <t>IsRepeating</t>
  </si>
  <si>
    <t>Content</t>
  </si>
  <si>
    <t>Expected</t>
  </si>
  <si>
    <t>Check</t>
  </si>
  <si>
    <t>Name</t>
  </si>
  <si>
    <t>Value</t>
  </si>
  <si>
    <t>RQ</t>
  </si>
  <si>
    <t>SOURCES</t>
  </si>
  <si>
    <t>Comment</t>
  </si>
  <si>
    <t>IsColl</t>
  </si>
  <si>
    <t>{"LogHeader":{"RequestId":"123456", "Unit":"123"},"RequestData":{"ProductDescription":"Προθεσμιακή με Bonus 3 Μηνών - Από Ευρώ 10.000","AccountNumber":"923456789012345", "SEPA":0.17, "PS1014":3, "PS1015":1, "PS1016":"MONTH", "PS1053": "START", "PS1056":10000, "F1041":5000, "F1042":10000, "InterestTable":[{"Period":1,"Interest":0.2,"Points":500}, {"Period":3,"Interest":0.25,"Points":1000}]}}</t>
  </si>
  <si>
    <t>Last error message</t>
  </si>
  <si>
    <t>Server:</t>
  </si>
  <si>
    <t>F01</t>
  </si>
  <si>
    <t/>
  </si>
  <si>
    <t>M01</t>
  </si>
  <si>
    <t>F02</t>
  </si>
  <si>
    <t>_</t>
  </si>
  <si>
    <t>F03</t>
  </si>
  <si>
    <t>F04</t>
  </si>
  <si>
    <t>F05</t>
  </si>
  <si>
    <t>F06</t>
  </si>
  <si>
    <t>F07</t>
  </si>
  <si>
    <t>F08</t>
  </si>
  <si>
    <t>F09</t>
  </si>
  <si>
    <t>F10</t>
  </si>
  <si>
    <t>F11</t>
  </si>
  <si>
    <t>F12</t>
  </si>
  <si>
    <t>F13</t>
  </si>
  <si>
    <t>F14</t>
  </si>
  <si>
    <t>F15</t>
  </si>
  <si>
    <t>F16</t>
  </si>
  <si>
    <t>Πρώτος προαιρετικός όρος</t>
  </si>
  <si>
    <t>F17</t>
  </si>
  <si>
    <t>F18</t>
  </si>
  <si>
    <t>Τρίτος προαιρετικός όρος</t>
  </si>
  <si>
    <t>F19</t>
  </si>
  <si>
    <t>F20</t>
  </si>
  <si>
    <t>F21</t>
  </si>
  <si>
    <t>F22</t>
  </si>
  <si>
    <t>F23</t>
  </si>
  <si>
    <t>https://localhost:44381/api/templates/T01/mappings/M01/test</t>
  </si>
  <si>
    <t>MONTH</t>
  </si>
  <si>
    <t>Service</t>
  </si>
  <si>
    <t>ΠΡΟΘΕΣΜΙΑΚΉ ΜΕ BONUS 3 ΜΗΝΏΝ - ΑΠΌ ΕΥΡΏ 10.000</t>
  </si>
  <si>
    <t>έκαστης</t>
  </si>
  <si>
    <t>[]</t>
  </si>
  <si>
    <t>0,2</t>
  </si>
  <si>
    <t>0,17</t>
  </si>
  <si>
    <t>#SHOW_CONTENT#</t>
  </si>
  <si>
    <t>#HIDE_CONTENT#</t>
  </si>
  <si>
    <t>Προθεσμιακή με Bonus 3 Μηνών - Από Ευρώ 10.000</t>
  </si>
  <si>
    <t>8/4/2020</t>
  </si>
  <si>
    <t>923456789012345</t>
  </si>
  <si>
    <t>3</t>
  </si>
  <si>
    <t>10000</t>
  </si>
  <si>
    <t>1</t>
  </si>
  <si>
    <t>500</t>
  </si>
  <si>
    <t>5000</t>
  </si>
  <si>
    <t>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</si>
</sst>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theme="0" tint="-0.14999847407452621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15">
    <xf numFmtId="0" fontId="0" fillId="0" borderId="0" xfId="0"/>
    <xf numFmtId="0" fontId="0" fillId="2" borderId="0" xfId="0" applyFill="1"/>
    <xf numFmtId="0" fontId="2" fillId="2" borderId="2" xfId="2" applyFill="1"/>
    <xf numFmtId="0" fontId="2" fillId="2" borderId="2" xfId="2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quotePrefix="1" applyFill="1"/>
    <xf numFmtId="49" fontId="0" fillId="0" borderId="0" xfId="0" quotePrefix="1" applyNumberFormat="1" applyFill="1" applyAlignment="1"/>
    <xf numFmtId="49" fontId="0" fillId="0" borderId="0" xfId="0" quotePrefix="1" applyNumberFormat="1" applyFill="1"/>
    <xf numFmtId="0" fontId="0" fillId="0" borderId="0" xfId="0" applyFill="1"/>
    <xf numFmtId="0" fontId="3" fillId="2" borderId="0" xfId="0" applyFont="1" applyFill="1" applyAlignment="1">
      <alignment horizontal="left"/>
    </xf>
    <xf numFmtId="0" fontId="4" fillId="0" borderId="0" xfId="0" applyFont="1" applyFill="1"/>
    <xf numFmtId="0" fontId="1" fillId="2" borderId="1" xfId="1" applyFill="1" applyAlignment="1">
      <alignment horizontal="center"/>
    </xf>
    <xf numFmtId="0" fontId="1" fillId="2" borderId="0" xfId="1" applyFill="1" applyBorder="1" applyAlignment="1">
      <alignment horizontal="center"/>
    </xf>
    <xf numFmtId="49" fontId="0" fillId="0" borderId="0" xfId="0" applyNumberFormat="1"/>
    <xf numFmtId="49" fontId="0" fillId="0" borderId="0" xfId="0" applyNumberFormat="1" applyFill="1" applyAlignment="1">
      <alignment horizontal="left"/>
    </xf>
  </cellXfs>
  <cellStyles count="3">
    <cellStyle name="Heading 2" xfId="1" builtinId="17"/>
    <cellStyle name="Heading 3" xfId="2" builtinId="18"/>
    <cellStyle name="Normal" xfId="0" builtinId="0"/>
  </cellStyles>
  <dxfs count="10">
    <dxf>
      <fill>
        <patternFill>
          <bgColor theme="4" tint="0.39994506668294322"/>
        </patternFill>
      </fill>
    </dxf>
    <dxf>
      <fill>
        <patternFill>
          <bgColor rgb="FFFFA3A3"/>
        </patternFill>
      </fill>
    </dxf>
    <dxf>
      <fill>
        <patternFill>
          <bgColor theme="4" tint="0.39994506668294322"/>
        </patternFill>
      </fill>
    </dxf>
    <dxf>
      <fill>
        <patternFill>
          <bgColor rgb="FFFFA3A3"/>
        </patternFill>
      </fill>
    </dxf>
    <dxf>
      <fill>
        <patternFill>
          <bgColor theme="4" tint="0.39994506668294322"/>
        </patternFill>
      </fill>
    </dxf>
    <dxf>
      <fill>
        <patternFill>
          <bgColor rgb="FFFFA3A3"/>
        </patternFill>
      </fill>
    </dxf>
    <dxf>
      <fill>
        <patternFill>
          <bgColor theme="4" tint="0.39994506668294322"/>
        </patternFill>
      </fill>
    </dxf>
    <dxf>
      <fill>
        <patternFill>
          <bgColor rgb="FFFFA3A3"/>
        </patternFill>
      </fill>
    </dxf>
    <dxf>
      <fill>
        <patternFill>
          <bgColor theme="4" tint="0.39994506668294322"/>
        </patternFill>
      </fill>
    </dxf>
    <dxf>
      <fill>
        <patternFill>
          <bgColor rgb="FFFFA3A3"/>
        </patternFill>
      </fill>
    </dxf>
  </dxfs>
  <tableStyles count="0" defaultTableStyle="TableStyleMedium2" defaultPivotStyle="PivotStyleLight16"/>
  <colors>
    <mruColors>
      <color rgb="FFFFA3A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18</xdr:row>
          <xdr:rowOff>47625</xdr:rowOff>
        </xdr:from>
        <xdr:to>
          <xdr:col>16</xdr:col>
          <xdr:colOff>1809750</xdr:colOff>
          <xdr:row>19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Mapping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485775</xdr:colOff>
          <xdr:row>12</xdr:row>
          <xdr:rowOff>19050</xdr:rowOff>
        </xdr:from>
        <xdr:to>
          <xdr:col>16</xdr:col>
          <xdr:colOff>733425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@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8"/>
  <sheetViews>
    <sheetView tabSelected="1" zoomScale="80" zoomScaleNormal="80" workbookViewId="0">
      <selection activeCell="J15" sqref="J15"/>
    </sheetView>
  </sheetViews>
  <sheetFormatPr defaultRowHeight="15" x14ac:dyDescent="0.25"/>
  <cols>
    <col min="1" max="1" width="3" style="1" bestFit="1" customWidth="1"/>
    <col min="2" max="2" width="4.42578125" style="1" bestFit="1" customWidth="1"/>
    <col min="3" max="3" width="8.5703125" style="1" bestFit="1" customWidth="1"/>
    <col min="4" max="4" width="6" style="1" bestFit="1" customWidth="1"/>
    <col min="5" max="5" width="11.5703125" style="1" hidden="1" customWidth="1"/>
    <col min="6" max="6" width="9.28515625" style="1" customWidth="1"/>
    <col min="7" max="7" width="1.7109375" style="1" customWidth="1"/>
    <col min="8" max="8" width="4.85546875" style="1" bestFit="1" customWidth="1"/>
    <col min="9" max="9" width="8.28515625" style="1" bestFit="1" customWidth="1"/>
    <col min="10" max="10" width="35.7109375" style="1" customWidth="1"/>
    <col min="11" max="11" width="25.7109375" style="1" customWidth="1"/>
    <col min="12" max="12" width="15.85546875" style="1" customWidth="1"/>
    <col min="13" max="13" width="27" style="1" customWidth="1"/>
    <col min="14" max="14" width="6.28515625" style="4" bestFit="1" customWidth="1"/>
    <col min="15" max="15" width="2.28515625" style="1" customWidth="1"/>
    <col min="16" max="16" width="10.140625" style="1" customWidth="1"/>
    <col min="17" max="17" width="30.140625" style="1" customWidth="1"/>
    <col min="18" max="16384" width="9.140625" style="1"/>
  </cols>
  <sheetData>
    <row r="1" spans="1:17" ht="18" thickBot="1" x14ac:dyDescent="0.35">
      <c r="A1" s="11" t="s">
        <v>0</v>
      </c>
      <c r="B1" s="11"/>
      <c r="C1" s="11"/>
      <c r="D1" s="11"/>
      <c r="E1" s="11"/>
      <c r="F1" s="11"/>
      <c r="H1" s="11" t="s">
        <v>4</v>
      </c>
      <c r="I1" s="11"/>
      <c r="J1" s="11"/>
      <c r="K1" s="11"/>
      <c r="L1" s="11"/>
      <c r="M1" s="11"/>
      <c r="N1" s="11"/>
      <c r="P1" s="12" t="s">
        <v>14</v>
      </c>
      <c r="Q1" s="12"/>
    </row>
    <row r="2" spans="1:17" ht="16.5" thickTop="1" thickBot="1" x14ac:dyDescent="0.3">
      <c r="A2" s="2" t="s">
        <v>1</v>
      </c>
      <c r="B2" s="2" t="s">
        <v>2</v>
      </c>
      <c r="C2" s="2" t="s">
        <v>3</v>
      </c>
      <c r="D2" s="2" t="s">
        <v>16</v>
      </c>
      <c r="E2" s="2" t="s">
        <v>7</v>
      </c>
      <c r="F2" s="2" t="s">
        <v>8</v>
      </c>
      <c r="H2" s="2" t="s">
        <v>1</v>
      </c>
      <c r="I2" s="2" t="s">
        <v>5</v>
      </c>
      <c r="J2" s="2" t="s">
        <v>6</v>
      </c>
      <c r="K2" s="2" t="s">
        <v>9</v>
      </c>
      <c r="L2" s="2" t="s">
        <v>15</v>
      </c>
      <c r="M2" s="2" t="s">
        <v>50</v>
      </c>
      <c r="N2" s="3" t="s">
        <v>10</v>
      </c>
      <c r="P2" s="2" t="s">
        <v>11</v>
      </c>
      <c r="Q2" s="2" t="s">
        <v>12</v>
      </c>
    </row>
    <row r="3" spans="1:17" x14ac:dyDescent="0.25">
      <c r="A3">
        <v>1</v>
      </c>
      <c r="B3" t="s">
        <v>20</v>
      </c>
      <c r="C3" t="s">
        <v>21</v>
      </c>
      <c r="D3" t="s">
        <v>21</v>
      </c>
      <c r="F3" t="s">
        <v>21</v>
      </c>
      <c r="G3" t="s">
        <v>21</v>
      </c>
      <c r="H3" t="s">
        <v>22</v>
      </c>
      <c r="I3" t="s">
        <v>20</v>
      </c>
      <c r="J3" s="14" t="str">
        <f>SYSDATE()</f>
        <v>7/4/2020</v>
      </c>
      <c r="K3" s="6"/>
      <c r="L3" s="7" t="s">
        <v>21</v>
      </c>
      <c r="M3" s="7" t="s">
        <v>59</v>
      </c>
      <c r="N3" s="9">
        <f t="shared" ref="N3:N25" si="0">IF(J3=K3,1,0)</f>
        <v>0</v>
      </c>
      <c r="P3" s="8" t="s">
        <v>13</v>
      </c>
      <c r="Q3" s="8" t="s">
        <v>17</v>
      </c>
    </row>
    <row r="4" spans="1:17" x14ac:dyDescent="0.25">
      <c r="A4">
        <v>2</v>
      </c>
      <c r="B4" t="s">
        <v>23</v>
      </c>
      <c r="C4" t="s">
        <v>21</v>
      </c>
      <c r="D4" t="s">
        <v>21</v>
      </c>
      <c r="F4" t="s">
        <v>24</v>
      </c>
      <c r="G4" t="s">
        <v>21</v>
      </c>
      <c r="H4" t="s">
        <v>22</v>
      </c>
      <c r="I4" t="s">
        <v>23</v>
      </c>
      <c r="J4" s="13" t="str">
        <f>UPPER(rqd("ProductDescription"))</f>
        <v>ΠΡΟΘΕΣΜΙΑΚΗ ΜΕ BONUS 3 ΜΗΝΩΝ - ΑΠΟ ΕΥΡΩ 10.000</v>
      </c>
      <c r="K4"/>
      <c r="L4" t="s">
        <v>21</v>
      </c>
      <c r="M4" s="13" t="s">
        <v>51</v>
      </c>
      <c r="N4" s="9">
        <f t="shared" si="0"/>
        <v>0</v>
      </c>
      <c r="P4" s="8"/>
      <c r="Q4" s="8"/>
    </row>
    <row r="5" spans="1:17" x14ac:dyDescent="0.25">
      <c r="A5">
        <v>3</v>
      </c>
      <c r="B5" t="s">
        <v>25</v>
      </c>
      <c r="C5" t="s">
        <v>21</v>
      </c>
      <c r="D5" t="s">
        <v>21</v>
      </c>
      <c r="F5" t="s">
        <v>21</v>
      </c>
      <c r="G5" t="s">
        <v>21</v>
      </c>
      <c r="H5" t="s">
        <v>22</v>
      </c>
      <c r="I5" t="s">
        <v>25</v>
      </c>
      <c r="J5" s="13" t="str">
        <f>rqd("AccountNumber")</f>
        <v>923456789012345</v>
      </c>
      <c r="K5"/>
      <c r="L5" t="s">
        <v>21</v>
      </c>
      <c r="M5" s="13" t="s">
        <v>60</v>
      </c>
      <c r="N5" s="9">
        <f t="shared" si="0"/>
        <v>0</v>
      </c>
      <c r="P5" s="8"/>
      <c r="Q5" s="8"/>
    </row>
    <row r="6" spans="1:17" x14ac:dyDescent="0.25">
      <c r="A6">
        <v>4</v>
      </c>
      <c r="B6" t="s">
        <v>26</v>
      </c>
      <c r="C6" t="s">
        <v>21</v>
      </c>
      <c r="D6" t="s">
        <v>21</v>
      </c>
      <c r="F6" t="s">
        <v>21</v>
      </c>
      <c r="G6" t="s">
        <v>21</v>
      </c>
      <c r="H6" t="s">
        <v>22</v>
      </c>
      <c r="I6" t="s">
        <v>26</v>
      </c>
      <c r="J6" s="13" t="str">
        <f>LOWER(rqd("PS1014"))</f>
        <v>3</v>
      </c>
      <c r="K6"/>
      <c r="L6" t="s">
        <v>21</v>
      </c>
      <c r="M6" s="13" t="s">
        <v>61</v>
      </c>
      <c r="N6" s="9">
        <f t="shared" si="0"/>
        <v>0</v>
      </c>
      <c r="P6" s="8"/>
      <c r="Q6" s="8"/>
    </row>
    <row r="7" spans="1:17" x14ac:dyDescent="0.25">
      <c r="A7">
        <v>5</v>
      </c>
      <c r="B7" t="s">
        <v>27</v>
      </c>
      <c r="C7" t="s">
        <v>21</v>
      </c>
      <c r="D7" t="s">
        <v>21</v>
      </c>
      <c r="F7" t="s">
        <v>21</v>
      </c>
      <c r="G7" t="s">
        <v>21</v>
      </c>
      <c r="H7" t="s">
        <v>22</v>
      </c>
      <c r="I7" t="s">
        <v>27</v>
      </c>
      <c r="J7" s="13" t="str">
        <f>rqd("PS1016")</f>
        <v>MONTH</v>
      </c>
      <c r="K7"/>
      <c r="L7" t="s">
        <v>21</v>
      </c>
      <c r="M7" s="13" t="s">
        <v>49</v>
      </c>
      <c r="N7" s="9">
        <f t="shared" si="0"/>
        <v>0</v>
      </c>
      <c r="P7" s="8"/>
      <c r="Q7" s="8"/>
    </row>
    <row r="8" spans="1:17" x14ac:dyDescent="0.25">
      <c r="A8">
        <v>6</v>
      </c>
      <c r="B8" t="s">
        <v>28</v>
      </c>
      <c r="C8" t="s">
        <v>21</v>
      </c>
      <c r="D8" t="s">
        <v>21</v>
      </c>
      <c r="F8" t="s">
        <v>21</v>
      </c>
      <c r="G8" t="s">
        <v>21</v>
      </c>
      <c r="H8" t="s">
        <v>22</v>
      </c>
      <c r="I8" t="s">
        <v>28</v>
      </c>
      <c r="J8" s="13" t="str">
        <f>IF(rqd("PS1014")/rqd("PS1015")&gt;2,"έκαστης","της πρώτης")</f>
        <v>έκαστης</v>
      </c>
      <c r="K8"/>
      <c r="L8" t="s">
        <v>21</v>
      </c>
      <c r="M8" s="13" t="s">
        <v>52</v>
      </c>
      <c r="N8" s="9">
        <f t="shared" si="0"/>
        <v>0</v>
      </c>
      <c r="P8" s="8"/>
      <c r="Q8" s="8"/>
    </row>
    <row r="9" spans="1:17" x14ac:dyDescent="0.25">
      <c r="A9">
        <v>7</v>
      </c>
      <c r="B9" t="s">
        <v>29</v>
      </c>
      <c r="C9" t="s">
        <v>21</v>
      </c>
      <c r="D9" t="s">
        <v>21</v>
      </c>
      <c r="F9" t="s">
        <v>21</v>
      </c>
      <c r="G9" t="s">
        <v>21</v>
      </c>
      <c r="H9" t="s">
        <v>22</v>
      </c>
      <c r="I9" t="s">
        <v>29</v>
      </c>
      <c r="J9" s="13">
        <f>rqd("PS1056")</f>
        <v>10000</v>
      </c>
      <c r="K9"/>
      <c r="L9" t="s">
        <v>21</v>
      </c>
      <c r="M9" s="13" t="s">
        <v>62</v>
      </c>
      <c r="N9" s="9">
        <f t="shared" si="0"/>
        <v>0</v>
      </c>
      <c r="P9" s="8"/>
      <c r="Q9" s="8"/>
    </row>
    <row r="10" spans="1:17" x14ac:dyDescent="0.25">
      <c r="A10">
        <v>8</v>
      </c>
      <c r="B10" t="s">
        <v>30</v>
      </c>
      <c r="C10" t="s">
        <v>21</v>
      </c>
      <c r="D10" t="s">
        <v>21</v>
      </c>
      <c r="F10" t="s">
        <v>21</v>
      </c>
      <c r="G10" t="s">
        <v>21</v>
      </c>
      <c r="H10" t="s">
        <v>22</v>
      </c>
      <c r="I10" t="s">
        <v>30</v>
      </c>
      <c r="J10" s="13" t="str">
        <f>PROPER(rqd("PS1014"))</f>
        <v>3</v>
      </c>
      <c r="K10"/>
      <c r="L10" t="s">
        <v>21</v>
      </c>
      <c r="M10" s="13" t="s">
        <v>61</v>
      </c>
      <c r="N10" s="9">
        <f t="shared" si="0"/>
        <v>0</v>
      </c>
      <c r="P10" s="8"/>
      <c r="Q10" s="8"/>
    </row>
    <row r="11" spans="1:17" x14ac:dyDescent="0.25">
      <c r="A11">
        <v>9</v>
      </c>
      <c r="B11" t="s">
        <v>31</v>
      </c>
      <c r="C11" t="s">
        <v>21</v>
      </c>
      <c r="D11" t="s">
        <v>21</v>
      </c>
      <c r="F11" t="s">
        <v>21</v>
      </c>
      <c r="G11" t="s">
        <v>21</v>
      </c>
      <c r="H11" t="s">
        <v>22</v>
      </c>
      <c r="I11" t="s">
        <v>31</v>
      </c>
      <c r="J11" s="13">
        <f>rqd("PS1015")</f>
        <v>1</v>
      </c>
      <c r="K11"/>
      <c r="L11" t="s">
        <v>21</v>
      </c>
      <c r="M11" s="13" t="s">
        <v>63</v>
      </c>
      <c r="N11" s="9">
        <f t="shared" si="0"/>
        <v>0</v>
      </c>
      <c r="P11" s="8"/>
      <c r="Q11" s="8"/>
    </row>
    <row r="12" spans="1:17" x14ac:dyDescent="0.25">
      <c r="A12">
        <v>10</v>
      </c>
      <c r="B12" t="s">
        <v>32</v>
      </c>
      <c r="C12" t="s">
        <v>21</v>
      </c>
      <c r="D12" t="b">
        <v>1</v>
      </c>
      <c r="F12" t="s">
        <v>21</v>
      </c>
      <c r="G12" t="s">
        <v>21</v>
      </c>
      <c r="H12" t="s">
        <v>22</v>
      </c>
      <c r="I12" t="s">
        <v>32</v>
      </c>
      <c r="J12" s="13" t="str">
        <f>rqd("InterestTable")</f>
        <v>[]</v>
      </c>
      <c r="K12"/>
      <c r="L12" t="s">
        <v>21</v>
      </c>
      <c r="M12" s="13" t="s">
        <v>53</v>
      </c>
      <c r="N12" s="9">
        <f t="shared" si="0"/>
        <v>0</v>
      </c>
      <c r="P12" s="8"/>
      <c r="Q12" s="8"/>
    </row>
    <row r="13" spans="1:17" ht="15.75" thickBot="1" x14ac:dyDescent="0.3">
      <c r="A13">
        <v>11</v>
      </c>
      <c r="B13" t="s">
        <v>33</v>
      </c>
      <c r="C13" t="s">
        <v>32</v>
      </c>
      <c r="D13" t="s">
        <v>21</v>
      </c>
      <c r="F13" t="s">
        <v>21</v>
      </c>
      <c r="G13" t="s">
        <v>21</v>
      </c>
      <c r="H13" t="s">
        <v>22</v>
      </c>
      <c r="I13" t="s">
        <v>33</v>
      </c>
      <c r="J13" s="13">
        <f>RQR("Period")</f>
        <v>1</v>
      </c>
      <c r="K13"/>
      <c r="L13" t="s">
        <v>21</v>
      </c>
      <c r="M13" s="13" t="s">
        <v>63</v>
      </c>
      <c r="N13" s="9">
        <f t="shared" si="0"/>
        <v>0</v>
      </c>
      <c r="P13" s="2" t="s">
        <v>18</v>
      </c>
      <c r="Q13" s="2"/>
    </row>
    <row r="14" spans="1:17" x14ac:dyDescent="0.25">
      <c r="A14">
        <v>12</v>
      </c>
      <c r="B14" t="s">
        <v>34</v>
      </c>
      <c r="C14" t="s">
        <v>32</v>
      </c>
      <c r="D14" t="s">
        <v>21</v>
      </c>
      <c r="F14" t="s">
        <v>21</v>
      </c>
      <c r="G14" t="s">
        <v>21</v>
      </c>
      <c r="H14" t="s">
        <v>22</v>
      </c>
      <c r="I14" t="s">
        <v>34</v>
      </c>
      <c r="J14" s="13">
        <f>RQR("Interest")</f>
        <v>0.2</v>
      </c>
      <c r="K14"/>
      <c r="L14" t="s">
        <v>21</v>
      </c>
      <c r="M14" s="13" t="s">
        <v>54</v>
      </c>
      <c r="N14" s="9">
        <f t="shared" si="0"/>
        <v>0</v>
      </c>
      <c r="P14" s="10" t="str">
        <f>GetLastSourceErrorMsg()</f>
        <v/>
      </c>
      <c r="Q14" s="8"/>
    </row>
    <row r="15" spans="1:17" x14ac:dyDescent="0.25">
      <c r="A15">
        <v>13</v>
      </c>
      <c r="B15" t="s">
        <v>35</v>
      </c>
      <c r="C15" t="s">
        <v>32</v>
      </c>
      <c r="D15" t="s">
        <v>21</v>
      </c>
      <c r="F15" t="s">
        <v>21</v>
      </c>
      <c r="G15" t="s">
        <v>21</v>
      </c>
      <c r="H15" t="s">
        <v>22</v>
      </c>
      <c r="I15" t="s">
        <v>35</v>
      </c>
      <c r="J15" s="13">
        <f>RQR("Points")</f>
        <v>500</v>
      </c>
      <c r="K15"/>
      <c r="L15" t="s">
        <v>21</v>
      </c>
      <c r="M15" s="13" t="s">
        <v>64</v>
      </c>
      <c r="N15" s="9">
        <f t="shared" si="0"/>
        <v>0</v>
      </c>
    </row>
    <row r="16" spans="1:17" x14ac:dyDescent="0.25">
      <c r="A16">
        <v>14</v>
      </c>
      <c r="B16" t="s">
        <v>36</v>
      </c>
      <c r="C16" t="s">
        <v>21</v>
      </c>
      <c r="D16" t="s">
        <v>21</v>
      </c>
      <c r="F16" t="s">
        <v>21</v>
      </c>
      <c r="G16" t="s">
        <v>21</v>
      </c>
      <c r="H16" t="s">
        <v>22</v>
      </c>
      <c r="I16" t="s">
        <v>36</v>
      </c>
      <c r="J16" s="13">
        <f>rqd("SEPA")</f>
        <v>0.17</v>
      </c>
      <c r="K16"/>
      <c r="L16" t="s">
        <v>21</v>
      </c>
      <c r="M16" s="13" t="s">
        <v>55</v>
      </c>
      <c r="N16" s="9">
        <f t="shared" si="0"/>
        <v>0</v>
      </c>
    </row>
    <row r="17" spans="1:17" ht="15.75" thickBot="1" x14ac:dyDescent="0.3">
      <c r="A17">
        <v>15</v>
      </c>
      <c r="B17" t="s">
        <v>37</v>
      </c>
      <c r="C17" t="s">
        <v>21</v>
      </c>
      <c r="D17" t="s">
        <v>21</v>
      </c>
      <c r="F17" t="s">
        <v>21</v>
      </c>
      <c r="G17" t="s">
        <v>21</v>
      </c>
      <c r="H17" t="s">
        <v>22</v>
      </c>
      <c r="I17" t="s">
        <v>37</v>
      </c>
      <c r="J17" s="13">
        <f>rqd("PS1015")</f>
        <v>1</v>
      </c>
      <c r="K17"/>
      <c r="L17" t="s">
        <v>21</v>
      </c>
      <c r="M17" s="13" t="s">
        <v>63</v>
      </c>
      <c r="N17" s="9">
        <f t="shared" si="0"/>
        <v>0</v>
      </c>
      <c r="P17" s="2" t="s">
        <v>19</v>
      </c>
      <c r="Q17" t="s">
        <v>48</v>
      </c>
    </row>
    <row r="18" spans="1:17" x14ac:dyDescent="0.25">
      <c r="A18">
        <v>16</v>
      </c>
      <c r="B18" t="s">
        <v>38</v>
      </c>
      <c r="C18" t="s">
        <v>21</v>
      </c>
      <c r="D18" t="s">
        <v>21</v>
      </c>
      <c r="F18" t="s">
        <v>39</v>
      </c>
      <c r="G18" t="s">
        <v>21</v>
      </c>
      <c r="H18" t="s">
        <v>22</v>
      </c>
      <c r="I18" t="s">
        <v>38</v>
      </c>
      <c r="J18" s="13" t="str">
        <f>CONTENT(rqd("PS1053")="START")</f>
        <v>Πρώτος προαιρετικός όρος</v>
      </c>
      <c r="K18"/>
      <c r="L18" t="s">
        <v>21</v>
      </c>
      <c r="M18" s="13" t="s">
        <v>56</v>
      </c>
      <c r="N18" s="9">
        <f t="shared" si="0"/>
        <v>0</v>
      </c>
    </row>
    <row r="19" spans="1:17" x14ac:dyDescent="0.25">
      <c r="A19">
        <v>17</v>
      </c>
      <c r="B19" t="s">
        <v>40</v>
      </c>
      <c r="C19" t="s">
        <v>21</v>
      </c>
      <c r="D19" t="s">
        <v>21</v>
      </c>
      <c r="F19" t="s">
        <v>21</v>
      </c>
      <c r="G19" t="s">
        <v>21</v>
      </c>
      <c r="H19" t="s">
        <v>22</v>
      </c>
      <c r="I19" t="s">
        <v>40</v>
      </c>
      <c r="J19" s="13">
        <f>rqd("PS1015")</f>
        <v>1</v>
      </c>
      <c r="K19"/>
      <c r="L19" t="s">
        <v>21</v>
      </c>
      <c r="M19" s="13" t="s">
        <v>63</v>
      </c>
      <c r="N19" s="9">
        <f t="shared" si="0"/>
        <v>0</v>
      </c>
    </row>
    <row r="20" spans="1:17" x14ac:dyDescent="0.25">
      <c r="A20">
        <v>18</v>
      </c>
      <c r="B20" t="s">
        <v>41</v>
      </c>
      <c r="C20" t="s">
        <v>21</v>
      </c>
      <c r="D20" t="s">
        <v>21</v>
      </c>
      <c r="F20" t="s">
        <v>42</v>
      </c>
      <c r="G20" t="s">
        <v>21</v>
      </c>
      <c r="H20" t="s">
        <v>22</v>
      </c>
      <c r="I20" t="s">
        <v>41</v>
      </c>
      <c r="J20" s="13" t="str">
        <f>CONTENT(rqd("PS1014")-rqd("PS1015")&gt;2)</f>
        <v/>
      </c>
      <c r="K20"/>
      <c r="L20" t="s">
        <v>21</v>
      </c>
      <c r="M20" s="13" t="s">
        <v>57</v>
      </c>
      <c r="N20" s="9">
        <f t="shared" si="0"/>
        <v>1</v>
      </c>
    </row>
    <row r="21" spans="1:17" x14ac:dyDescent="0.25">
      <c r="A21">
        <v>19</v>
      </c>
      <c r="B21" t="s">
        <v>43</v>
      </c>
      <c r="C21" t="s">
        <v>21</v>
      </c>
      <c r="D21" t="s">
        <v>21</v>
      </c>
      <c r="F21" t="s">
        <v>21</v>
      </c>
      <c r="G21" t="s">
        <v>21</v>
      </c>
      <c r="H21" t="s">
        <v>22</v>
      </c>
      <c r="I21" t="s">
        <v>43</v>
      </c>
      <c r="J21" s="13">
        <f>rqd("F1041")</f>
        <v>5000</v>
      </c>
      <c r="K21"/>
      <c r="L21" t="s">
        <v>21</v>
      </c>
      <c r="M21" s="13" t="s">
        <v>65</v>
      </c>
      <c r="N21" s="9">
        <f t="shared" si="0"/>
        <v>0</v>
      </c>
    </row>
    <row r="22" spans="1:17" x14ac:dyDescent="0.25">
      <c r="A22">
        <v>20</v>
      </c>
      <c r="B22" t="s">
        <v>44</v>
      </c>
      <c r="C22" t="s">
        <v>21</v>
      </c>
      <c r="D22" t="s">
        <v>21</v>
      </c>
      <c r="F22" t="s">
        <v>21</v>
      </c>
      <c r="G22" t="s">
        <v>21</v>
      </c>
      <c r="H22" t="s">
        <v>22</v>
      </c>
      <c r="I22" t="s">
        <v>44</v>
      </c>
      <c r="J22" s="13">
        <f>rqd("F1042")</f>
        <v>10000</v>
      </c>
      <c r="K22"/>
      <c r="L22" t="s">
        <v>21</v>
      </c>
      <c r="M22" s="13" t="s">
        <v>62</v>
      </c>
      <c r="N22" s="9">
        <f t="shared" si="0"/>
        <v>0</v>
      </c>
    </row>
    <row r="23" spans="1:17" x14ac:dyDescent="0.25">
      <c r="A23">
        <v>21</v>
      </c>
      <c r="B23" t="s">
        <v>45</v>
      </c>
      <c r="C23" t="s">
        <v>21</v>
      </c>
      <c r="D23" t="s">
        <v>21</v>
      </c>
      <c r="F23" t="s">
        <v>21</v>
      </c>
      <c r="G23" t="s">
        <v>21</v>
      </c>
      <c r="H23" t="s">
        <v>22</v>
      </c>
      <c r="I23" t="s">
        <v>45</v>
      </c>
      <c r="J23" s="13" t="str">
        <f>rqd("ProductDescription")</f>
        <v>Προθεσμιακή με Bonus 3 Μηνών - Από Ευρώ 10.000</v>
      </c>
      <c r="K23"/>
      <c r="L23" t="s">
        <v>21</v>
      </c>
      <c r="M23" s="13" t="s">
        <v>58</v>
      </c>
      <c r="N23" s="9">
        <f t="shared" si="0"/>
        <v>0</v>
      </c>
    </row>
    <row r="24" spans="1:17" x14ac:dyDescent="0.25">
      <c r="A24">
        <v>22</v>
      </c>
      <c r="B24" t="s">
        <v>46</v>
      </c>
      <c r="C24" t="s">
        <v>21</v>
      </c>
      <c r="D24" t="s">
        <v>21</v>
      </c>
      <c r="F24" t="s">
        <v>21</v>
      </c>
      <c r="G24" t="s">
        <v>21</v>
      </c>
      <c r="H24" t="s">
        <v>22</v>
      </c>
      <c r="I24" t="s">
        <v>46</v>
      </c>
      <c r="J24" s="13" t="str">
        <f>rqd("AccountNumber")</f>
        <v>923456789012345</v>
      </c>
      <c r="K24"/>
      <c r="L24" t="s">
        <v>21</v>
      </c>
      <c r="M24" s="13" t="s">
        <v>60</v>
      </c>
      <c r="N24" s="9">
        <f t="shared" si="0"/>
        <v>0</v>
      </c>
    </row>
    <row r="25" spans="1:17" x14ac:dyDescent="0.25">
      <c r="A25">
        <v>23</v>
      </c>
      <c r="B25" t="s">
        <v>47</v>
      </c>
      <c r="C25" t="s">
        <v>21</v>
      </c>
      <c r="D25" t="s">
        <v>21</v>
      </c>
      <c r="F25" t="s">
        <v>21</v>
      </c>
      <c r="G25" t="s">
        <v>21</v>
      </c>
      <c r="H25" t="s">
        <v>22</v>
      </c>
      <c r="I25" t="s">
        <v>47</v>
      </c>
      <c r="J25" s="13" t="str">
        <f>RQL("Unit")</f>
        <v>123</v>
      </c>
      <c r="K25"/>
      <c r="L25" t="s">
        <v>21</v>
      </c>
      <c r="M25" s="13" t="s">
        <v>66</v>
      </c>
      <c r="N25" s="9">
        <f t="shared" si="0"/>
        <v>0</v>
      </c>
    </row>
    <row r="28" spans="1:17" x14ac:dyDescent="0.25">
      <c r="J28" s="5"/>
    </row>
  </sheetData>
  <mergeCells count="3">
    <mergeCell ref="A1:F1"/>
    <mergeCell ref="H1:N1"/>
    <mergeCell ref="P1:Q1"/>
  </mergeCells>
  <conditionalFormatting sqref="N3"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J3">
    <cfRule type="containsErrors" dxfId="9" priority="6">
      <formula>ISERROR(J3)</formula>
    </cfRule>
  </conditionalFormatting>
  <conditionalFormatting sqref="J3">
    <cfRule type="expression" dxfId="8" priority="2">
      <formula>NOT(_xlfn.ISFORMULA(J3))</formula>
    </cfRule>
  </conditionalFormatting>
  <conditionalFormatting sqref="N4:N25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TestMapping">
                <anchor moveWithCells="1">
                  <from>
                    <xdr:col>15</xdr:col>
                    <xdr:colOff>171450</xdr:colOff>
                    <xdr:row>18</xdr:row>
                    <xdr:rowOff>47625</xdr:rowOff>
                  </from>
                  <to>
                    <xdr:col>16</xdr:col>
                    <xdr:colOff>1809750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nSourceErrorMsgRefresh">
                <anchor moveWithCells="1">
                  <from>
                    <xdr:col>16</xdr:col>
                    <xdr:colOff>485775</xdr:colOff>
                    <xdr:row>12</xdr:row>
                    <xdr:rowOff>19050</xdr:rowOff>
                  </from>
                  <to>
                    <xdr:col>16</xdr:col>
                    <xdr:colOff>742950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Mappings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localadm</cp:lastModifiedBy>
  <dcterms:created xsi:type="dcterms:W3CDTF">2020-04-02T14:46:20Z</dcterms:created>
  <dcterms:modified xsi:type="dcterms:W3CDTF">2020-04-07T21:08:00Z</dcterms:modified>
</cp:coreProperties>
</file>