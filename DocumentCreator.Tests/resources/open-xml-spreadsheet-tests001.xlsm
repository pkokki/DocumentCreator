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ocaladm\Desktop\"/>
    </mc:Choice>
  </mc:AlternateContent>
  <bookViews>
    <workbookView xWindow="0" yWindow="0" windowWidth="19200" windowHeight="12180"/>
  </bookViews>
  <sheets>
    <sheet name="Mapping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F3" i="1"/>
  <c r="F7" i="1"/>
  <c r="F11" i="1"/>
  <c r="F19" i="1"/>
  <c r="F23" i="1"/>
  <c r="F10" i="1"/>
  <c r="F22" i="1"/>
  <c r="F4" i="1"/>
  <c r="F8" i="1"/>
  <c r="F12" i="1"/>
  <c r="F16" i="1"/>
  <c r="F20" i="1"/>
  <c r="F24" i="1"/>
  <c r="F6" i="1"/>
  <c r="F18" i="1"/>
  <c r="F5" i="1"/>
  <c r="F9" i="1"/>
  <c r="F13" i="1"/>
  <c r="F17" i="1"/>
  <c r="F21" i="1"/>
  <c r="F25" i="1"/>
  <c r="F14" i="1"/>
  <c r="K25" i="1"/>
  <c r="I25" i="1"/>
  <c r="K24" i="1"/>
  <c r="I24" i="1"/>
  <c r="K23" i="1"/>
  <c r="I23" i="1"/>
  <c r="K22" i="1"/>
  <c r="I22" i="1"/>
  <c r="K21" i="1"/>
  <c r="I21" i="1"/>
  <c r="K20" i="1"/>
  <c r="I20" i="1"/>
  <c r="K19" i="1"/>
  <c r="I19" i="1"/>
  <c r="K18" i="1"/>
  <c r="I18" i="1"/>
  <c r="K17" i="1"/>
  <c r="I17" i="1"/>
  <c r="K16" i="1"/>
  <c r="I16" i="1"/>
  <c r="K15" i="1"/>
  <c r="I15" i="1"/>
  <c r="K14" i="1"/>
  <c r="I14" i="1"/>
  <c r="K13" i="1"/>
  <c r="I13" i="1"/>
  <c r="K12" i="1"/>
  <c r="I12" i="1"/>
  <c r="K11" i="1"/>
  <c r="I11" i="1"/>
  <c r="K10" i="1"/>
  <c r="I10" i="1"/>
  <c r="K9" i="1"/>
  <c r="I9" i="1"/>
  <c r="K8" i="1"/>
  <c r="I8" i="1"/>
  <c r="K7" i="1"/>
  <c r="I7" i="1"/>
  <c r="K6" i="1"/>
  <c r="I6" i="1"/>
  <c r="K5" i="1"/>
  <c r="I5" i="1"/>
  <c r="K4" i="1"/>
  <c r="I4" i="1"/>
  <c r="K3" i="1"/>
  <c r="I3" i="1"/>
</calcChain>
</file>

<file path=xl/sharedStrings.xml><?xml version="1.0" encoding="utf-8"?>
<sst xmlns="http://schemas.openxmlformats.org/spreadsheetml/2006/main" count="188" uniqueCount="108">
  <si>
    <t>FIELDS</t>
  </si>
  <si>
    <t>ParentId</t>
  </si>
  <si>
    <t>Content</t>
  </si>
  <si>
    <t>Expected</t>
  </si>
  <si>
    <t>Check</t>
  </si>
  <si>
    <t>Name</t>
  </si>
  <si>
    <t>Value</t>
  </si>
  <si>
    <t>RQ</t>
  </si>
  <si>
    <t>SOURCES</t>
  </si>
  <si>
    <t>Comment</t>
  </si>
  <si>
    <t>IsColl</t>
  </si>
  <si>
    <t>Server:</t>
  </si>
  <si>
    <t>https://localhost:44381/api/evaluations</t>
  </si>
  <si>
    <t>Template:</t>
  </si>
  <si>
    <t>Total:</t>
  </si>
  <si>
    <t>Errors:</t>
  </si>
  <si>
    <t>Agent:</t>
  </si>
  <si>
    <t>API result</t>
  </si>
  <si>
    <t>Expression</t>
  </si>
  <si>
    <t>Mapping:</t>
  </si>
  <si>
    <t>INFORMATION</t>
  </si>
  <si>
    <t>MAPPING</t>
  </si>
  <si>
    <t>{"LogHeader":{"Version":"4.0","RequestId":"123456", "Unit":"123"},"RequestData":{"ProductDescription":"Προθεσμιακή με Bonus 3 Μηνών - Από Ευρώ 10.000","AccountNumber":"923456789012345", "SEPA":0.17, "PS1014":3, "PS1015":1, "PS1016":"MONTH", "PS1053": "START", "PS1056":10000, "F1041":5000, "F1042":10000, "InterestTable":[{"Period":1,"Interest":0.2,"Points":500}, {"Period":3,"Interest":0.25,"Points":1000}]}}</t>
  </si>
  <si>
    <t>F01</t>
  </si>
  <si>
    <t/>
  </si>
  <si>
    <t/>
  </si>
  <si>
    <t>F02</t>
  </si>
  <si>
    <t/>
  </si>
  <si>
    <t>_</t>
  </si>
  <si>
    <t>F03</t>
  </si>
  <si>
    <t/>
  </si>
  <si>
    <t/>
  </si>
  <si>
    <t>F04</t>
  </si>
  <si>
    <t/>
  </si>
  <si>
    <t/>
  </si>
  <si>
    <t>F05</t>
  </si>
  <si>
    <t/>
  </si>
  <si>
    <t/>
  </si>
  <si>
    <t>F06</t>
  </si>
  <si>
    <t/>
  </si>
  <si>
    <t/>
  </si>
  <si>
    <t>F07</t>
  </si>
  <si>
    <t/>
  </si>
  <si>
    <t/>
  </si>
  <si>
    <t>F08</t>
  </si>
  <si>
    <t/>
  </si>
  <si>
    <t/>
  </si>
  <si>
    <t>F09</t>
  </si>
  <si>
    <t/>
  </si>
  <si>
    <t/>
  </si>
  <si>
    <t>F10</t>
  </si>
  <si>
    <t/>
  </si>
  <si>
    <t/>
  </si>
  <si>
    <t>F11</t>
  </si>
  <si>
    <t/>
  </si>
  <si>
    <t>F12</t>
  </si>
  <si>
    <t/>
  </si>
  <si>
    <t>F13</t>
  </si>
  <si>
    <t/>
  </si>
  <si>
    <t>F14</t>
  </si>
  <si>
    <t/>
  </si>
  <si>
    <t/>
  </si>
  <si>
    <t>F15</t>
  </si>
  <si>
    <t/>
  </si>
  <si>
    <t/>
  </si>
  <si>
    <t>F16</t>
  </si>
  <si>
    <t/>
  </si>
  <si>
    <t>Πρώτος προαιρετικός όρος</t>
  </si>
  <si>
    <t>F17</t>
  </si>
  <si>
    <t/>
  </si>
  <si>
    <t/>
  </si>
  <si>
    <t>F18</t>
  </si>
  <si>
    <t/>
  </si>
  <si>
    <t>Τρίτος προαιρετικός όρος</t>
  </si>
  <si>
    <t>F19</t>
  </si>
  <si>
    <t/>
  </si>
  <si>
    <t/>
  </si>
  <si>
    <t>F20</t>
  </si>
  <si>
    <t/>
  </si>
  <si>
    <t/>
  </si>
  <si>
    <t>F21</t>
  </si>
  <si>
    <t/>
  </si>
  <si>
    <t/>
  </si>
  <si>
    <t>F22</t>
  </si>
  <si>
    <t/>
  </si>
  <si>
    <t/>
  </si>
  <si>
    <t>F23</t>
  </si>
  <si>
    <t/>
  </si>
  <si>
    <t/>
  </si>
  <si>
    <t>0.2.74183</t>
  </si>
  <si>
    <t>T01</t>
  </si>
  <si>
    <t>M02</t>
  </si>
  <si>
    <t>14/4/2020</t>
  </si>
  <si>
    <t>ΠΡΟΘΕΣΜΙΑΚΗ ΜΕ BONUS 3 ΜΗΝΩΝ - ΑΠΟ ΕΥΡΩ 10.000</t>
  </si>
  <si>
    <t>923456789012345</t>
  </si>
  <si>
    <t>3</t>
  </si>
  <si>
    <t>MONTH</t>
  </si>
  <si>
    <t>έκαστης</t>
  </si>
  <si>
    <t>10000</t>
  </si>
  <si>
    <t>1</t>
  </si>
  <si>
    <t>[]</t>
  </si>
  <si>
    <t>['1','3']</t>
  </si>
  <si>
    <t>['0,2','0,25']</t>
  </si>
  <si>
    <t>['500','1000']</t>
  </si>
  <si>
    <t>0,17</t>
  </si>
  <si>
    <t>5000</t>
  </si>
  <si>
    <t>Προθεσμιακή με Bonus 3 Μηνών - Από Ευρώ 10.000</t>
  </si>
  <si>
    <t>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</si>
</sst>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theme="0" tint="-0.14999847407452621"/>
      <name val="Calibri"/>
      <family val="2"/>
      <charset val="161"/>
      <scheme val="minor"/>
    </font>
    <font>
      <sz val="11"/>
      <color rgb="FF000000"/>
      <name val="Calibri"/>
      <family val="2"/>
      <charset val="16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13">
    <xf numFmtId="0" fontId="0" fillId="0" borderId="0" xfId="0"/>
    <xf numFmtId="0" fontId="0" fillId="2" borderId="0" xfId="0" applyFill="1"/>
    <xf numFmtId="0" fontId="2" fillId="2" borderId="2" xfId="2" applyFill="1"/>
    <xf numFmtId="0" fontId="2" fillId="2" borderId="2" xfId="2" applyFill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Fill="1"/>
    <xf numFmtId="0" fontId="3" fillId="2" borderId="0" xfId="0" applyFont="1" applyFill="1" applyAlignment="1">
      <alignment horizontal="left"/>
    </xf>
    <xf numFmtId="0" fontId="0" fillId="2" borderId="0" xfId="0" applyNumberFormat="1" applyFill="1"/>
    <xf numFmtId="0" fontId="2" fillId="2" borderId="2" xfId="2" applyNumberFormat="1" applyFill="1"/>
    <xf numFmtId="0" fontId="1" fillId="2" borderId="1" xfId="1" applyFill="1" applyAlignment="1"/>
    <xf numFmtId="0" fontId="0" fillId="0" borderId="0" xfId="0" applyNumberFormat="1"/>
    <xf numFmtId="0" fontId="3" fillId="2" borderId="0" xfId="0" applyNumberFormat="1" applyFont="1" applyFill="1" applyAlignment="1">
      <alignment horizontal="left"/>
    </xf>
    <xf numFmtId="49" fontId="0" fillId="0" borderId="0" xfId="0" applyNumberFormat="1"/>
  </cellXfs>
  <cellStyles count="3">
    <cellStyle name="Heading 2" xfId="1" builtinId="17"/>
    <cellStyle name="Heading 3" xfId="2" builtinId="18"/>
    <cellStyle name="Normal" xfId="0" builtinId="0"/>
  </cellStyles>
  <dxfs count="4">
    <dxf>
      <font>
        <color theme="9"/>
      </font>
      <fill>
        <patternFill>
          <bgColor theme="9"/>
        </patternFill>
      </fill>
    </dxf>
    <dxf>
      <font>
        <color rgb="FFFF6969"/>
      </font>
      <fill>
        <patternFill>
          <bgColor rgb="FFFF6969"/>
        </patternFill>
      </fill>
    </dxf>
    <dxf>
      <font>
        <color theme="9"/>
      </font>
      <fill>
        <patternFill>
          <bgColor theme="9"/>
        </patternFill>
      </fill>
    </dxf>
    <dxf>
      <font>
        <color rgb="FFFF6969"/>
      </font>
      <fill>
        <patternFill>
          <bgColor rgb="FFFF6969"/>
        </patternFill>
      </fill>
    </dxf>
  </dxfs>
  <tableStyles count="0" defaultTableStyle="TableStyleMedium2" defaultPivotStyle="PivotStyleLight16"/>
  <colors>
    <mruColors>
      <color rgb="FFFF6969"/>
      <color rgb="FFFFA3A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18</xdr:row>
          <xdr:rowOff>47625</xdr:rowOff>
        </xdr:from>
        <xdr:to>
          <xdr:col>13</xdr:col>
          <xdr:colOff>1809750</xdr:colOff>
          <xdr:row>19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Mapping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0"/>
  <sheetViews>
    <sheetView tabSelected="1" zoomScale="80" zoomScaleNormal="80" workbookViewId="0">
      <selection activeCell="J30" sqref="J30"/>
    </sheetView>
  </sheetViews>
  <sheetFormatPr defaultRowHeight="15" x14ac:dyDescent="0.25"/>
  <cols>
    <col min="1" max="1" width="8.140625" style="1" customWidth="1"/>
    <col min="2" max="2" width="9" style="1" customWidth="1"/>
    <col min="3" max="3" width="5.85546875" style="1" bestFit="1" customWidth="1"/>
    <col min="4" max="4" width="11.85546875" style="1" customWidth="1"/>
    <col min="5" max="5" width="1.7109375" style="1" customWidth="1"/>
    <col min="6" max="6" width="27.7109375" style="7" customWidth="1"/>
    <col min="7" max="7" width="21.7109375" style="7" customWidth="1"/>
    <col min="8" max="8" width="22.140625" style="7" customWidth="1"/>
    <col min="9" max="9" width="26.42578125" style="7" customWidth="1"/>
    <col min="10" max="10" width="24.42578125" style="7" customWidth="1"/>
    <col min="11" max="11" width="6.28515625" style="4" bestFit="1" customWidth="1"/>
    <col min="12" max="12" width="2.28515625" style="1" customWidth="1"/>
    <col min="13" max="13" width="10.140625" style="1" customWidth="1"/>
    <col min="14" max="14" width="30.140625" style="1" customWidth="1"/>
    <col min="15" max="16384" width="9.140625" style="1"/>
  </cols>
  <sheetData>
    <row r="1" spans="1:14" ht="18" thickBot="1" x14ac:dyDescent="0.35">
      <c r="A1" s="9" t="s">
        <v>0</v>
      </c>
      <c r="B1" s="9"/>
      <c r="C1" s="9"/>
      <c r="D1" s="9"/>
      <c r="F1" s="9" t="s">
        <v>21</v>
      </c>
      <c r="G1" s="9"/>
      <c r="H1" s="9"/>
      <c r="I1" s="9"/>
      <c r="J1" s="9"/>
      <c r="K1" s="9"/>
      <c r="M1" s="9" t="s">
        <v>8</v>
      </c>
      <c r="N1" s="9"/>
    </row>
    <row r="2" spans="1:14" ht="16.5" thickTop="1" thickBot="1" x14ac:dyDescent="0.3">
      <c r="A2" s="2" t="s">
        <v>5</v>
      </c>
      <c r="B2" s="2" t="s">
        <v>1</v>
      </c>
      <c r="C2" s="2" t="s">
        <v>10</v>
      </c>
      <c r="D2" s="2" t="s">
        <v>2</v>
      </c>
      <c r="F2" s="8" t="s">
        <v>6</v>
      </c>
      <c r="G2" s="8" t="s">
        <v>3</v>
      </c>
      <c r="H2" s="8" t="s">
        <v>9</v>
      </c>
      <c r="I2" s="8" t="s">
        <v>18</v>
      </c>
      <c r="J2" s="8" t="s">
        <v>17</v>
      </c>
      <c r="K2" s="3" t="s">
        <v>4</v>
      </c>
      <c r="M2" s="2" t="s">
        <v>5</v>
      </c>
      <c r="N2" s="2" t="s">
        <v>6</v>
      </c>
    </row>
    <row r="3" spans="1:14" x14ac:dyDescent="0.25">
      <c r="A3" t="s">
        <v>23</v>
      </c>
      <c r="B3" t="s">
        <v>24</v>
      </c>
      <c r="C3" t="s">
        <v>24</v>
      </c>
      <c r="D3" t="s">
        <v>25</v>
      </c>
      <c r="F3" t="str">
        <f>SYSDATE()</f>
        <v>14/4/2020</v>
      </c>
      <c r="G3" t="s">
        <v>24</v>
      </c>
      <c r="H3" t="s">
        <v>24</v>
      </c>
      <c r="I3" s="10" t="str">
        <f ca="1">_xlfn.IFNA(_xlfn.FORMULATEXT(F3),"")</f>
        <v>=SYSDATE()</v>
      </c>
      <c r="J3" s="12" t="s">
        <v>92</v>
      </c>
      <c r="K3" s="11">
        <f ca="1">IF(ISNA(_xlfn.FORMULATEXT(F3)),"",IF(F3=J3,1,IF(F3=_xlfn.IFNA(VALUE(J3),J3),1,2)))</f>
        <v>1</v>
      </c>
      <c r="M3" s="5" t="s">
        <v>7</v>
      </c>
      <c r="N3" s="5" t="s">
        <v>22</v>
      </c>
    </row>
    <row r="4" spans="1:14" x14ac:dyDescent="0.25">
      <c r="A4" t="s">
        <v>26</v>
      </c>
      <c r="B4" t="s">
        <v>27</v>
      </c>
      <c r="C4" t="s">
        <v>24</v>
      </c>
      <c r="D4" t="s">
        <v>28</v>
      </c>
      <c r="F4" t="str">
        <f>UPPER(RQD("ProductDescription"))</f>
        <v>ΠΡΟΘΕΣΜΙΑΚΗ ΜΕ BONUS 3 ΜΗΝΩΝ - ΑΠΟ ΕΥΡΩ 10.000</v>
      </c>
      <c r="G4" t="s">
        <v>24</v>
      </c>
      <c r="H4" t="s">
        <v>24</v>
      </c>
      <c r="I4" s="10" t="str">
        <f ca="1">_xlfn.IFNA(_xlfn.FORMULATEXT(F4),"")</f>
        <v>=UPPER(RQD("ProductDescription"))</v>
      </c>
      <c r="J4" s="12" t="s">
        <v>93</v>
      </c>
      <c r="K4" s="11">
        <f ca="1">IF(ISNA(_xlfn.FORMULATEXT(F4)),"",IF(F4=J4,1,IF(F4=_xlfn.IFNA(VALUE(J4),J4),1,2)))</f>
        <v>1</v>
      </c>
      <c r="M4" s="5"/>
      <c r="N4" s="5"/>
    </row>
    <row r="5" spans="1:14" x14ac:dyDescent="0.25">
      <c r="A5" t="s">
        <v>29</v>
      </c>
      <c r="B5" t="s">
        <v>30</v>
      </c>
      <c r="C5" t="s">
        <v>24</v>
      </c>
      <c r="D5" t="s">
        <v>31</v>
      </c>
      <c r="F5" t="str">
        <f>RQD("AccountNumber")</f>
        <v>923456789012345</v>
      </c>
      <c r="G5" t="s">
        <v>24</v>
      </c>
      <c r="H5" t="s">
        <v>24</v>
      </c>
      <c r="I5" s="10" t="str">
        <f ca="1">_xlfn.IFNA(_xlfn.FORMULATEXT(F5),"")</f>
        <v>=RQD("AccountNumber")</v>
      </c>
      <c r="J5" s="12" t="s">
        <v>94</v>
      </c>
      <c r="K5" s="11">
        <f ca="1">IF(ISNA(_xlfn.FORMULATEXT(F5)),"",IF(F5=J5,1,IF(F5=_xlfn.IFNA(VALUE(J5),J5),1,2)))</f>
        <v>1</v>
      </c>
      <c r="M5" s="5"/>
      <c r="N5" s="5"/>
    </row>
    <row r="6" spans="1:14" x14ac:dyDescent="0.25">
      <c r="A6" t="s">
        <v>32</v>
      </c>
      <c r="B6" t="s">
        <v>33</v>
      </c>
      <c r="C6" t="s">
        <v>24</v>
      </c>
      <c r="D6" t="s">
        <v>34</v>
      </c>
      <c r="F6" t="str">
        <f>LOWER(RQD("PS1014"))</f>
        <v>3</v>
      </c>
      <c r="G6" t="s">
        <v>24</v>
      </c>
      <c r="H6" t="s">
        <v>24</v>
      </c>
      <c r="I6" s="10" t="str">
        <f ca="1">_xlfn.IFNA(_xlfn.FORMULATEXT(F6),"")</f>
        <v>=LOWER(RQD("PS1014"))</v>
      </c>
      <c r="J6" s="12" t="s">
        <v>95</v>
      </c>
      <c r="K6" s="11">
        <f ca="1">IF(ISNA(_xlfn.FORMULATEXT(F6)),"",IF(F6=J6,1,IF(F6=_xlfn.IFNA(VALUE(J6),J6),1,2)))</f>
        <v>1</v>
      </c>
      <c r="M6" s="5"/>
      <c r="N6" s="5"/>
    </row>
    <row r="7" spans="1:14" x14ac:dyDescent="0.25">
      <c r="A7" t="s">
        <v>35</v>
      </c>
      <c r="B7" t="s">
        <v>36</v>
      </c>
      <c r="C7" t="s">
        <v>24</v>
      </c>
      <c r="D7" t="s">
        <v>37</v>
      </c>
      <c r="F7" t="str">
        <f>RQD("PS1016")</f>
        <v>MONTH</v>
      </c>
      <c r="G7" t="s">
        <v>24</v>
      </c>
      <c r="H7" t="s">
        <v>24</v>
      </c>
      <c r="I7" s="10" t="str">
        <f ca="1">_xlfn.IFNA(_xlfn.FORMULATEXT(F7),"")</f>
        <v>=RQD("PS1016")</v>
      </c>
      <c r="J7" s="12" t="s">
        <v>96</v>
      </c>
      <c r="K7" s="11">
        <f ca="1">IF(ISNA(_xlfn.FORMULATEXT(F7)),"",IF(F7=J7,1,IF(F7=_xlfn.IFNA(VALUE(J7),J7),1,2)))</f>
        <v>1</v>
      </c>
      <c r="M7" s="5"/>
      <c r="N7" s="5"/>
    </row>
    <row r="8" spans="1:14" x14ac:dyDescent="0.25">
      <c r="A8" t="s">
        <v>38</v>
      </c>
      <c r="B8" t="s">
        <v>39</v>
      </c>
      <c r="C8" t="s">
        <v>24</v>
      </c>
      <c r="D8" t="s">
        <v>40</v>
      </c>
      <c r="F8" t="str">
        <f>IF(RQD("PS1014")/RQD("PS1015")&gt;2,"έκαστης","της πρώτης")</f>
        <v>έκαστης</v>
      </c>
      <c r="G8" t="s">
        <v>24</v>
      </c>
      <c r="H8" t="s">
        <v>24</v>
      </c>
      <c r="I8" s="10" t="str">
        <f ca="1">_xlfn.IFNA(_xlfn.FORMULATEXT(F8),"")</f>
        <v>=IF(RQD("PS1014")/RQD("PS1015")&gt;2;"έκαστης";"της πρώτης")</v>
      </c>
      <c r="J8" s="12" t="s">
        <v>97</v>
      </c>
      <c r="K8" s="11">
        <f ca="1">IF(ISNA(_xlfn.FORMULATEXT(F8)),"",IF(F8=J8,1,IF(F8=_xlfn.IFNA(VALUE(J8),J8),1,2)))</f>
        <v>1</v>
      </c>
      <c r="M8" s="5"/>
      <c r="N8" s="5"/>
    </row>
    <row r="9" spans="1:14" x14ac:dyDescent="0.25">
      <c r="A9" t="s">
        <v>41</v>
      </c>
      <c r="B9" t="s">
        <v>42</v>
      </c>
      <c r="C9" t="s">
        <v>24</v>
      </c>
      <c r="D9" t="s">
        <v>43</v>
      </c>
      <c r="F9">
        <f>RQD("PS1056")</f>
        <v>10000</v>
      </c>
      <c r="G9" t="s">
        <v>24</v>
      </c>
      <c r="H9" t="s">
        <v>24</v>
      </c>
      <c r="I9" s="10" t="str">
        <f ca="1">_xlfn.IFNA(_xlfn.FORMULATEXT(F9),"")</f>
        <v>=RQD("PS1056")</v>
      </c>
      <c r="J9" s="12" t="s">
        <v>98</v>
      </c>
      <c r="K9" s="11">
        <f ca="1">IF(ISNA(_xlfn.FORMULATEXT(F9)),"",IF(F9=J9,1,IF(F9=_xlfn.IFNA(VALUE(J9),J9),1,2)))</f>
        <v>1</v>
      </c>
      <c r="M9" s="5"/>
      <c r="N9" s="5"/>
    </row>
    <row r="10" spans="1:14" x14ac:dyDescent="0.25">
      <c r="A10" t="s">
        <v>44</v>
      </c>
      <c r="B10" t="s">
        <v>45</v>
      </c>
      <c r="C10" t="s">
        <v>24</v>
      </c>
      <c r="D10" t="s">
        <v>46</v>
      </c>
      <c r="F10" t="str">
        <f>PROPER(RQD("PS1014"))</f>
        <v>3</v>
      </c>
      <c r="G10" t="s">
        <v>24</v>
      </c>
      <c r="H10" t="s">
        <v>24</v>
      </c>
      <c r="I10" s="10" t="str">
        <f ca="1">_xlfn.IFNA(_xlfn.FORMULATEXT(F10),"")</f>
        <v>=PROPER(RQD("PS1014"))</v>
      </c>
      <c r="J10" s="12" t="s">
        <v>95</v>
      </c>
      <c r="K10" s="11">
        <f ca="1">IF(ISNA(_xlfn.FORMULATEXT(F10)),"",IF(F10=J10,1,IF(F10=_xlfn.IFNA(VALUE(J10),J10),1,2)))</f>
        <v>1</v>
      </c>
      <c r="M10" s="5"/>
      <c r="N10" s="5"/>
    </row>
    <row r="11" spans="1:14" x14ac:dyDescent="0.25">
      <c r="A11" t="s">
        <v>47</v>
      </c>
      <c r="B11" t="s">
        <v>48</v>
      </c>
      <c r="C11" t="s">
        <v>24</v>
      </c>
      <c r="D11" t="s">
        <v>49</v>
      </c>
      <c r="F11">
        <f>RQD("PS1015")</f>
        <v>1</v>
      </c>
      <c r="G11" t="s">
        <v>24</v>
      </c>
      <c r="H11" t="s">
        <v>24</v>
      </c>
      <c r="I11" s="10" t="str">
        <f ca="1">_xlfn.IFNA(_xlfn.FORMULATEXT(F11),"")</f>
        <v>=RQD("PS1015")</v>
      </c>
      <c r="J11" s="12" t="s">
        <v>99</v>
      </c>
      <c r="K11" s="11">
        <f ca="1">IF(ISNA(_xlfn.FORMULATEXT(F11)),"",IF(F11=J11,1,IF(F11=_xlfn.IFNA(VALUE(J11),J11),1,2)))</f>
        <v>1</v>
      </c>
      <c r="M11" s="5"/>
      <c r="N11" s="5"/>
    </row>
    <row r="12" spans="1:14" x14ac:dyDescent="0.25">
      <c r="A12" t="s">
        <v>50</v>
      </c>
      <c r="B12" t="s">
        <v>51</v>
      </c>
      <c r="C12" t="b">
        <v>1</v>
      </c>
      <c r="D12" t="s">
        <v>52</v>
      </c>
      <c r="F12" t="str">
        <f>RQD("InterestTable")</f>
        <v>[]</v>
      </c>
      <c r="G12" t="s">
        <v>24</v>
      </c>
      <c r="H12" t="s">
        <v>24</v>
      </c>
      <c r="I12" s="10" t="str">
        <f ca="1">_xlfn.IFNA(_xlfn.FORMULATEXT(F12),"")</f>
        <v>=RQD("InterestTable")</v>
      </c>
      <c r="J12" s="12" t="s">
        <v>100</v>
      </c>
      <c r="K12" s="11">
        <f ca="1">IF(ISNA(_xlfn.FORMULATEXT(F12)),"",IF(F12=J12,1,IF(F12=_xlfn.IFNA(VALUE(J12),J12),1,2)))</f>
        <v>1</v>
      </c>
    </row>
    <row r="13" spans="1:14" ht="18" thickBot="1" x14ac:dyDescent="0.35">
      <c r="A13" t="s">
        <v>53</v>
      </c>
      <c r="B13" t="s">
        <v>50</v>
      </c>
      <c r="C13" t="s">
        <v>24</v>
      </c>
      <c r="D13" t="s">
        <v>54</v>
      </c>
      <c r="F13" t="str">
        <f>RQR("Period")</f>
        <v>['1','3']</v>
      </c>
      <c r="G13" t="s">
        <v>24</v>
      </c>
      <c r="H13" t="s">
        <v>24</v>
      </c>
      <c r="I13" s="10" t="str">
        <f ca="1">_xlfn.IFNA(_xlfn.FORMULATEXT(F13),"")</f>
        <v>=RQR("Period")</v>
      </c>
      <c r="J13" s="12" t="s">
        <v>101</v>
      </c>
      <c r="K13" s="11">
        <f ca="1">IF(ISNA(_xlfn.FORMULATEXT(F13)),"",IF(F13=J13,1,IF(F13=_xlfn.IFNA(VALUE(J13),J13),1,2)))</f>
        <v>1</v>
      </c>
      <c r="M13" s="9" t="s">
        <v>20</v>
      </c>
      <c r="N13" s="9"/>
    </row>
    <row r="14" spans="1:14" ht="16.5" thickTop="1" thickBot="1" x14ac:dyDescent="0.3">
      <c r="A14" t="s">
        <v>55</v>
      </c>
      <c r="B14" t="s">
        <v>50</v>
      </c>
      <c r="C14" t="s">
        <v>24</v>
      </c>
      <c r="D14" t="s">
        <v>56</v>
      </c>
      <c r="F14" t="str">
        <f>RQR("Interest")</f>
        <v>['0,2','0,25']</v>
      </c>
      <c r="G14" t="s">
        <v>24</v>
      </c>
      <c r="H14" t="s">
        <v>24</v>
      </c>
      <c r="I14" s="10" t="str">
        <f ca="1">_xlfn.IFNA(_xlfn.FORMULATEXT(F14),"")</f>
        <v>=RQR("Interest")</v>
      </c>
      <c r="J14" s="12" t="s">
        <v>102</v>
      </c>
      <c r="K14" s="11">
        <f ca="1">IF(ISNA(_xlfn.FORMULATEXT(F14)),"",IF(F14=J14,1,IF(F14=_xlfn.IFNA(VALUE(J14),J14),1,2)))</f>
        <v>1</v>
      </c>
      <c r="M14" s="2" t="s">
        <v>16</v>
      </c>
      <c r="N14" s="1" t="s">
        <v>89</v>
      </c>
    </row>
    <row r="15" spans="1:14" ht="15.75" thickBot="1" x14ac:dyDescent="0.3">
      <c r="A15" t="s">
        <v>57</v>
      </c>
      <c r="B15" t="s">
        <v>50</v>
      </c>
      <c r="C15" t="s">
        <v>24</v>
      </c>
      <c r="D15" t="s">
        <v>58</v>
      </c>
      <c r="F15" t="str">
        <f>RQR("Points")</f>
        <v>['500','1000']</v>
      </c>
      <c r="G15" t="s">
        <v>24</v>
      </c>
      <c r="H15" t="s">
        <v>24</v>
      </c>
      <c r="I15" s="10" t="str">
        <f ca="1">_xlfn.IFNA(_xlfn.FORMULATEXT(F15),"")</f>
        <v>=RQR("Points")</v>
      </c>
      <c r="J15" s="12" t="s">
        <v>103</v>
      </c>
      <c r="K15" s="11">
        <f ca="1">IF(ISNA(_xlfn.FORMULATEXT(F15)),"",IF(F15=J15,1,IF(F15=_xlfn.IFNA(VALUE(J15),J15),1,2)))</f>
        <v>1</v>
      </c>
      <c r="M15" s="2" t="s">
        <v>13</v>
      </c>
      <c r="N15" s="1" t="s">
        <v>90</v>
      </c>
    </row>
    <row r="16" spans="1:14" ht="15.75" thickBot="1" x14ac:dyDescent="0.3">
      <c r="A16" t="s">
        <v>59</v>
      </c>
      <c r="B16" t="s">
        <v>60</v>
      </c>
      <c r="C16" t="s">
        <v>24</v>
      </c>
      <c r="D16" t="s">
        <v>61</v>
      </c>
      <c r="F16">
        <f>RQD("SEPA")</f>
        <v>0.17</v>
      </c>
      <c r="G16" t="s">
        <v>24</v>
      </c>
      <c r="H16" t="s">
        <v>24</v>
      </c>
      <c r="I16" s="10" t="str">
        <f ca="1">_xlfn.IFNA(_xlfn.FORMULATEXT(F16),"")</f>
        <v>=RQD("SEPA")</v>
      </c>
      <c r="J16" s="12" t="s">
        <v>104</v>
      </c>
      <c r="K16" s="11">
        <f ca="1">IF(ISNA(_xlfn.FORMULATEXT(F16)),"",IF(F16=J16,1,IF(F16=_xlfn.IFNA(VALUE(J16),J16),1,2)))</f>
        <v>1</v>
      </c>
      <c r="M16" s="2" t="s">
        <v>19</v>
      </c>
      <c r="N16" s="1" t="s">
        <v>91</v>
      </c>
    </row>
    <row r="17" spans="1:14" ht="15.75" thickBot="1" x14ac:dyDescent="0.3">
      <c r="A17" t="s">
        <v>62</v>
      </c>
      <c r="B17" t="s">
        <v>63</v>
      </c>
      <c r="C17" t="s">
        <v>24</v>
      </c>
      <c r="D17" t="s">
        <v>64</v>
      </c>
      <c r="F17">
        <f>RQD("PS1015")</f>
        <v>1</v>
      </c>
      <c r="G17" t="s">
        <v>24</v>
      </c>
      <c r="H17" t="s">
        <v>24</v>
      </c>
      <c r="I17" s="10" t="str">
        <f ca="1">_xlfn.IFNA(_xlfn.FORMULATEXT(F17),"")</f>
        <v>=RQD("PS1015")</v>
      </c>
      <c r="J17" s="12" t="s">
        <v>99</v>
      </c>
      <c r="K17" s="11">
        <f ca="1">IF(ISNA(_xlfn.FORMULATEXT(F17)),"",IF(F17=J17,1,IF(F17=_xlfn.IFNA(VALUE(J17),J17),1,2)))</f>
        <v>1</v>
      </c>
      <c r="M17" s="2" t="s">
        <v>11</v>
      </c>
      <c r="N17" t="s">
        <v>12</v>
      </c>
    </row>
    <row r="18" spans="1:14" x14ac:dyDescent="0.25">
      <c r="A18" t="s">
        <v>65</v>
      </c>
      <c r="B18" t="s">
        <v>66</v>
      </c>
      <c r="C18" t="s">
        <v>24</v>
      </c>
      <c r="D18" t="s">
        <v>67</v>
      </c>
      <c r="F18" t="str">
        <f>CONTENT(RQD("PS1053")="START")</f>
        <v>Πρώτος προαιρετικός όρος</v>
      </c>
      <c r="G18" t="s">
        <v>24</v>
      </c>
      <c r="H18" t="s">
        <v>24</v>
      </c>
      <c r="I18" s="10" t="str">
        <f ca="1">_xlfn.IFNA(_xlfn.FORMULATEXT(F18),"")</f>
        <v>=CONTENT(RQD("PS1053")="START")</v>
      </c>
      <c r="J18" s="12" t="s">
        <v>67</v>
      </c>
      <c r="K18" s="11">
        <f ca="1">IF(ISNA(_xlfn.FORMULATEXT(F18)),"",IF(F18=J18,1,IF(F18=_xlfn.IFNA(VALUE(J18),J18),1,2)))</f>
        <v>1</v>
      </c>
    </row>
    <row r="19" spans="1:14" x14ac:dyDescent="0.25">
      <c r="A19" t="s">
        <v>68</v>
      </c>
      <c r="B19" t="s">
        <v>69</v>
      </c>
      <c r="C19" t="s">
        <v>24</v>
      </c>
      <c r="D19" t="s">
        <v>70</v>
      </c>
      <c r="F19">
        <f>RQD("PS1015")</f>
        <v>1</v>
      </c>
      <c r="G19" t="s">
        <v>24</v>
      </c>
      <c r="H19" t="s">
        <v>24</v>
      </c>
      <c r="I19" s="10" t="str">
        <f ca="1">_xlfn.IFNA(_xlfn.FORMULATEXT(F19),"")</f>
        <v>=RQD("PS1015")</v>
      </c>
      <c r="J19" s="12" t="s">
        <v>99</v>
      </c>
      <c r="K19" s="11">
        <f ca="1">IF(ISNA(_xlfn.FORMULATEXT(F19)),"",IF(F19=J19,1,IF(F19=_xlfn.IFNA(VALUE(J19),J19),1,2)))</f>
        <v>1</v>
      </c>
    </row>
    <row r="20" spans="1:14" x14ac:dyDescent="0.25">
      <c r="A20" t="s">
        <v>71</v>
      </c>
      <c r="B20" t="s">
        <v>72</v>
      </c>
      <c r="C20" t="s">
        <v>24</v>
      </c>
      <c r="D20" t="s">
        <v>73</v>
      </c>
      <c r="F20" t="str">
        <f>CONTENT(RQD("PS1014")-RQD("PS1015")&gt;2)</f>
        <v/>
      </c>
      <c r="G20" t="s">
        <v>24</v>
      </c>
      <c r="H20" t="s">
        <v>24</v>
      </c>
      <c r="I20" s="10" t="str">
        <f ca="1">_xlfn.IFNA(_xlfn.FORMULATEXT(F20),"")</f>
        <v>=CONTENT(RQD("PS1014")-RQD("PS1015")&gt;2)</v>
      </c>
      <c r="J20" s="12" t="s">
        <v>24</v>
      </c>
      <c r="K20" s="11">
        <f ca="1">IF(ISNA(_xlfn.FORMULATEXT(F20)),"",IF(F20=J20,1,IF(F20=_xlfn.IFNA(VALUE(J20),J20),1,2)))</f>
        <v>1</v>
      </c>
    </row>
    <row r="21" spans="1:14" x14ac:dyDescent="0.25">
      <c r="A21" t="s">
        <v>74</v>
      </c>
      <c r="B21" t="s">
        <v>75</v>
      </c>
      <c r="C21" t="s">
        <v>24</v>
      </c>
      <c r="D21" t="s">
        <v>76</v>
      </c>
      <c r="F21">
        <f>RQD("F1041")</f>
        <v>5000</v>
      </c>
      <c r="G21" t="s">
        <v>24</v>
      </c>
      <c r="H21" t="s">
        <v>24</v>
      </c>
      <c r="I21" s="10" t="str">
        <f ca="1">_xlfn.IFNA(_xlfn.FORMULATEXT(F21),"")</f>
        <v>=RQD("F1041")</v>
      </c>
      <c r="J21" s="12" t="s">
        <v>105</v>
      </c>
      <c r="K21" s="11">
        <f ca="1">IF(ISNA(_xlfn.FORMULATEXT(F21)),"",IF(F21=J21,1,IF(F21=_xlfn.IFNA(VALUE(J21),J21),1,2)))</f>
        <v>1</v>
      </c>
    </row>
    <row r="22" spans="1:14" ht="15.75" thickBot="1" x14ac:dyDescent="0.3">
      <c r="A22" t="s">
        <v>77</v>
      </c>
      <c r="B22" t="s">
        <v>78</v>
      </c>
      <c r="C22" t="s">
        <v>24</v>
      </c>
      <c r="D22" t="s">
        <v>79</v>
      </c>
      <c r="F22">
        <f>RQD("F1042")</f>
        <v>10000</v>
      </c>
      <c r="G22" t="s">
        <v>24</v>
      </c>
      <c r="H22" t="s">
        <v>24</v>
      </c>
      <c r="I22" s="10" t="str">
        <f ca="1">_xlfn.IFNA(_xlfn.FORMULATEXT(F22),"")</f>
        <v>=RQD("F1042")</v>
      </c>
      <c r="J22" s="12" t="s">
        <v>98</v>
      </c>
      <c r="K22" s="11">
        <f ca="1">IF(ISNA(_xlfn.FORMULATEXT(F22)),"",IF(F22=J22,1,IF(F22=_xlfn.IFNA(VALUE(J22),J22),1,2)))</f>
        <v>1</v>
      </c>
      <c r="M22" s="2" t="s">
        <v>14</v>
      </c>
      <c r="N22" s="3">
        <v>23</v>
      </c>
    </row>
    <row r="23" spans="1:14" ht="15.75" thickBot="1" x14ac:dyDescent="0.3">
      <c r="A23" t="s">
        <v>80</v>
      </c>
      <c r="B23" t="s">
        <v>81</v>
      </c>
      <c r="C23" t="s">
        <v>24</v>
      </c>
      <c r="D23" t="s">
        <v>82</v>
      </c>
      <c r="F23" t="str">
        <f>RQD("ProductDescription")</f>
        <v>Προθεσμιακή με Bonus 3 Μηνών - Από Ευρώ 10.000</v>
      </c>
      <c r="G23" t="s">
        <v>24</v>
      </c>
      <c r="H23" t="s">
        <v>24</v>
      </c>
      <c r="I23" s="10" t="str">
        <f ca="1">_xlfn.IFNA(_xlfn.FORMULATEXT(F23),"")</f>
        <v>=RQD("ProductDescription")</v>
      </c>
      <c r="J23" s="12" t="s">
        <v>106</v>
      </c>
      <c r="K23" s="11">
        <f ca="1">IF(ISNA(_xlfn.FORMULATEXT(F23)),"",IF(F23=J23,1,IF(F23=_xlfn.IFNA(VALUE(J23),J23),1,2)))</f>
        <v>1</v>
      </c>
      <c r="M23" s="2" t="s">
        <v>15</v>
      </c>
      <c r="N23" s="3">
        <v>0</v>
      </c>
    </row>
    <row r="24" spans="1:14" x14ac:dyDescent="0.25">
      <c r="A24" t="s">
        <v>83</v>
      </c>
      <c r="B24" t="s">
        <v>84</v>
      </c>
      <c r="C24" t="s">
        <v>24</v>
      </c>
      <c r="D24" t="s">
        <v>85</v>
      </c>
      <c r="F24" t="str">
        <f>RQD("AccountNumber")</f>
        <v>923456789012345</v>
      </c>
      <c r="G24" t="s">
        <v>24</v>
      </c>
      <c r="H24" t="s">
        <v>24</v>
      </c>
      <c r="I24" s="10" t="str">
        <f ca="1">_xlfn.IFNA(_xlfn.FORMULATEXT(F24),"")</f>
        <v>=RQD("AccountNumber")</v>
      </c>
      <c r="J24" s="12" t="s">
        <v>94</v>
      </c>
      <c r="K24" s="11">
        <f ca="1">IF(ISNA(_xlfn.FORMULATEXT(F24)),"",IF(F24=J24,1,IF(F24=_xlfn.IFNA(VALUE(J24),J24),1,2)))</f>
        <v>1</v>
      </c>
    </row>
    <row r="25" spans="1:14" x14ac:dyDescent="0.25">
      <c r="A25" t="s">
        <v>86</v>
      </c>
      <c r="B25" t="s">
        <v>87</v>
      </c>
      <c r="C25" t="s">
        <v>24</v>
      </c>
      <c r="D25" t="s">
        <v>88</v>
      </c>
      <c r="F25" t="str">
        <f>RQL("Unit")</f>
        <v>123</v>
      </c>
      <c r="G25" t="s">
        <v>24</v>
      </c>
      <c r="H25" t="s">
        <v>24</v>
      </c>
      <c r="I25" s="10" t="str">
        <f ca="1">_xlfn.IFNA(_xlfn.FORMULATEXT(F25),"")</f>
        <v>=RQL("Unit")</v>
      </c>
      <c r="J25" s="12" t="s">
        <v>107</v>
      </c>
      <c r="K25" s="11">
        <f ca="1">IF(ISNA(_xlfn.FORMULATEXT(F25)),"",IF(F25=J25,1,IF(F25=_xlfn.IFNA(VALUE(J25),J25),1,2)))</f>
        <v>1</v>
      </c>
    </row>
    <row r="26" spans="1:14" x14ac:dyDescent="0.25">
      <c r="K26" s="6"/>
    </row>
    <row r="27" spans="1:14" x14ac:dyDescent="0.25">
      <c r="K27" s="6"/>
    </row>
    <row r="28" spans="1:14" x14ac:dyDescent="0.25">
      <c r="K28" s="6"/>
    </row>
    <row r="29" spans="1:14" x14ac:dyDescent="0.25">
      <c r="K29" s="6"/>
    </row>
    <row r="30" spans="1:14" x14ac:dyDescent="0.25">
      <c r="K30" s="6"/>
    </row>
  </sheetData>
  <conditionalFormatting sqref="K4:K30">
    <cfRule type="cellIs" dxfId="3" priority="3" operator="equal">
      <formula>2</formula>
    </cfRule>
    <cfRule type="cellIs" dxfId="2" priority="9" operator="equal">
      <formula>1</formula>
    </cfRule>
  </conditionalFormatting>
  <conditionalFormatting sqref="K3">
    <cfRule type="cellIs" dxfId="1" priority="1" operator="equal">
      <formula>2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TestMapping">
                <anchor moveWithCells="1">
                  <from>
                    <xdr:col>12</xdr:col>
                    <xdr:colOff>171450</xdr:colOff>
                    <xdr:row>18</xdr:row>
                    <xdr:rowOff>47625</xdr:rowOff>
                  </from>
                  <to>
                    <xdr:col>13</xdr:col>
                    <xdr:colOff>1809750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Mappings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localadm</dc:creator>
  <cp:lastModifiedBy>localadm</cp:lastModifiedBy>
  <dcterms:created xsi:type="dcterms:W3CDTF">2020-04-02T14:46:20Z</dcterms:created>
  <dcterms:modified xsi:type="dcterms:W3CDTF">2020-04-14T20:45:05Z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CreatorVersion">
    <vt:lpwstr>0.2.74183</vt:lpwstr>
  </property>
</Properties>
</file>